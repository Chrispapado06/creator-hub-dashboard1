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tats" sheetId="1" state="visible" r:id="rId1"/>
    <sheet name="Time to Profit" sheetId="2" state="visible" r:id="rId2"/>
    <sheet name="Weekly History" sheetId="3" state="visible" r:id="rId3"/>
    <sheet name="Data" sheetId="4" state="visible" r:id="rId4"/>
    <sheet name="Cohort" sheetId="5" state="visible" r:id="rId5"/>
    <sheet name="Manual Sp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.00"/>
    <numFmt numFmtId="166" formatCode="0.0%"/>
    <numFmt numFmtId="167" formatCode="0.00&quot;x&quot;"/>
    <numFmt numFmtId="168" formatCode="ddd, mmm d"/>
    <numFmt numFmtId="169" formatCode="0.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color rgb="006B7280"/>
      <sz val="11"/>
    </font>
    <font>
      <color rgb="00111111"/>
      <sz val="11"/>
    </font>
    <font>
      <b val="1"/>
      <color rgb="00FFFFFF"/>
      <sz val="18"/>
    </font>
    <font>
      <b val="1"/>
      <color rgb="00111111"/>
      <sz val="11"/>
    </font>
    <font>
      <color rgb="006B7280"/>
      <sz val="10"/>
    </font>
    <font>
      <b val="1"/>
      <color rgb="00FFFFFF"/>
      <sz val="16"/>
    </font>
    <font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F2430"/>
      </patternFill>
    </fill>
    <fill>
      <patternFill patternType="solid">
        <fgColor rgb="005B43F5"/>
      </patternFill>
    </fill>
    <fill>
      <patternFill patternType="solid">
        <fgColor rgb="00FFFDF5"/>
      </patternFill>
    </fill>
    <fill>
      <patternFill patternType="solid">
        <fgColor rgb="00FFF6CC"/>
      </patternFill>
    </fill>
    <fill>
      <patternFill patternType="solid">
        <fgColor rgb="00F1F2F7"/>
      </patternFill>
    </fill>
    <fill>
      <patternFill patternType="solid">
        <fgColor rgb="00EDE7FB"/>
      </patternFill>
    </fill>
  </fills>
  <borders count="2">
    <border>
      <left/>
      <right/>
      <top/>
      <bottom/>
      <diagonal/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168" fontId="1" fillId="3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9" fontId="3" fillId="4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5">
    <dxf>
      <fill>
        <patternFill patternType="solid">
          <fgColor rgb="00E6F7EC"/>
        </patternFill>
      </fill>
    </dxf>
    <dxf>
      <fill>
        <patternFill patternType="solid">
          <fgColor rgb="00FCEAEA"/>
        </patternFill>
      </fill>
    </dxf>
    <dxf>
      <fill>
        <patternFill patternType="solid">
          <fgColor rgb="00FF6B6B"/>
        </patternFill>
      </fill>
    </dxf>
    <dxf>
      <fill>
        <patternFill patternType="solid">
          <fgColor rgb="004CD964"/>
        </patternFill>
      </fill>
    </dxf>
    <dxf>
      <fill>
        <patternFill patternType="solid">
          <fgColor rgb="00FFAA3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6" customHeight="1">
      <c r="A1" s="1" t="inlineStr">
        <is>
          <t>UNCVRD — WEEKLY STATS</t>
        </is>
      </c>
    </row>
    <row r="2">
      <c r="A2" s="2" t="inlineStr">
        <is>
          <t>From ▸</t>
        </is>
      </c>
      <c r="B2" s="3" t="n">
        <v>46199</v>
      </c>
      <c r="C2" s="2" t="inlineStr">
        <is>
          <t>To ▸</t>
        </is>
      </c>
      <c r="D2" s="3" t="n">
        <v>46205</v>
      </c>
      <c r="E2" s="2" t="inlineStr">
        <is>
          <t>Creator ▸</t>
        </is>
      </c>
      <c r="F2" s="4" t="inlineStr">
        <is>
          <t>All</t>
        </is>
      </c>
      <c r="H2" s="5">
        <f>TEXT($B$2,"mmm d")&amp;" → "&amp;TEXT($D$2,"mmm d")&amp;"   (pick any dates — set From=To for a single day)"</f>
        <v/>
      </c>
    </row>
    <row r="3">
      <c r="A3" s="6" t="inlineStr">
        <is>
          <t>Sheet ID ▸</t>
        </is>
      </c>
      <c r="B3" s="7" t="inlineStr"/>
      <c r="D3" s="8" t="inlineStr">
        <is>
          <t>Spend = Clicks × the CPC you type per platform (yellow cells in the CPC column).  Paste sheet ID for day-by-day manual overrides.</t>
        </is>
      </c>
    </row>
    <row r="4">
      <c r="A4" s="9" t="inlineStr">
        <is>
          <t>Metrics i need to know</t>
        </is>
      </c>
      <c r="B4" s="9" t="inlineStr">
        <is>
          <t>Clicks</t>
        </is>
      </c>
      <c r="C4" s="9" t="inlineStr">
        <is>
          <t>Fans</t>
        </is>
      </c>
      <c r="D4" s="9" t="inlineStr">
        <is>
          <t>Spend</t>
        </is>
      </c>
      <c r="E4" s="9" t="inlineStr">
        <is>
          <t>CAC</t>
        </is>
      </c>
      <c r="F4" s="9" t="inlineStr">
        <is>
          <t>CPC</t>
        </is>
      </c>
      <c r="G4" s="9" t="inlineStr">
        <is>
          <t>CVR</t>
        </is>
      </c>
      <c r="H4" s="9" t="inlineStr">
        <is>
          <t>Attributed Revenue</t>
        </is>
      </c>
      <c r="I4" s="9" t="inlineStr">
        <is>
          <t>Total LTV 48h</t>
        </is>
      </c>
      <c r="J4" s="9" t="inlineStr">
        <is>
          <t>Total LTV 7d</t>
        </is>
      </c>
      <c r="K4" s="9" t="inlineStr">
        <is>
          <t>Total LTV 14d</t>
        </is>
      </c>
      <c r="L4" s="9" t="inlineStr">
        <is>
          <t>Total LTV 30d</t>
        </is>
      </c>
      <c r="M4" s="9" t="inlineStr">
        <is>
          <t>ROAS</t>
        </is>
      </c>
      <c r="N4" s="9" t="inlineStr">
        <is>
          <t>Agency Profit</t>
        </is>
      </c>
    </row>
    <row r="5">
      <c r="A5" s="10" t="inlineStr">
        <is>
          <t>Meta</t>
        </is>
      </c>
      <c r="B5" s="11">
        <f>SUMIFS(Data!$D:$D,Data!$A:$A,"&gt;="&amp;$B$2,Data!$A:$A,"&lt;="&amp;$D$2,Data!$C:$C,"Meta",Data!$B:$B,IF($F$2="All","*",$F$2))</f>
        <v/>
      </c>
      <c r="C5" s="11">
        <f>SUMIFS(Data!$E:$E,Data!$A:$A,"&gt;="&amp;$B$2,Data!$A:$A,"&lt;="&amp;$D$2,Data!$C:$C,"Meta",Data!$B:$B,IF($F$2="All","*",$F$2))</f>
        <v/>
      </c>
      <c r="D5" s="12">
        <f>B5*F5</f>
        <v/>
      </c>
      <c r="E5" s="12">
        <f>IFERROR(D5/C5,"")</f>
        <v/>
      </c>
      <c r="F5" s="13" t="n">
        <v>0.75</v>
      </c>
      <c r="G5" s="14">
        <f>IFERROR(C5/B5,"")</f>
        <v/>
      </c>
      <c r="H5" s="15">
        <f>SUMIFS(Data!$G:$G,Data!$A:$A,"&gt;="&amp;$B$2,Data!$A:$A,"&lt;="&amp;$D$2,Data!$C:$C,"Meta",Data!$B:$B,IF($F$2="All","*",$F$2))</f>
        <v/>
      </c>
      <c r="I5" s="12">
        <f>IFERROR(SUMIFS(Cohort!$E:$E,Cohort!$B:$B,"Meta",Cohort!$A:$A,IF($F$2="All","*",$F$2))/SUMIFS(Cohort!$C:$C,Cohort!$B:$B,"Meta",Cohort!$A:$A,IF($F$2="All","*",$F$2)),"")</f>
        <v/>
      </c>
      <c r="J5" s="12">
        <f>IFERROR(SUMIFS(Cohort!$F:$F,Cohort!$B:$B,"Meta",Cohort!$A:$A,IF($F$2="All","*",$F$2))/SUMIFS(Cohort!$C:$C,Cohort!$B:$B,"Meta",Cohort!$A:$A,IF($F$2="All","*",$F$2)),"")</f>
        <v/>
      </c>
      <c r="K5" s="12">
        <f>IFERROR(SUMIFS(Cohort!$G:$G,Cohort!$B:$B,"Meta",Cohort!$A:$A,IF($F$2="All","*",$F$2))/SUMIFS(Cohort!$C:$C,Cohort!$B:$B,"Meta",Cohort!$A:$A,IF($F$2="All","*",$F$2)),"")</f>
        <v/>
      </c>
      <c r="L5" s="12">
        <f>IFERROR(SUMIFS(Cohort!$I:$I,Cohort!$B:$B,"Meta",Cohort!$A:$A,IF($F$2="All","*",$F$2))/SUMIFS(Cohort!$C:$C,Cohort!$B:$B,"Meta",Cohort!$A:$A,IF($F$2="All","*",$F$2)),"")</f>
        <v/>
      </c>
      <c r="M5" s="16">
        <f>IFERROR(H5/D5,"")</f>
        <v/>
      </c>
      <c r="N5" s="12">
        <f>H5-D5</f>
        <v/>
      </c>
    </row>
    <row r="6">
      <c r="A6" s="10" t="inlineStr">
        <is>
          <t>OnlyFinder</t>
        </is>
      </c>
      <c r="B6" s="11">
        <f>SUMIFS(Data!$D:$D,Data!$A:$A,"&gt;="&amp;$B$2,Data!$A:$A,"&lt;="&amp;$D$2,Data!$C:$C,"OnlyFinder",Data!$B:$B,IF($F$2="All","*",$F$2))</f>
        <v/>
      </c>
      <c r="C6" s="11">
        <f>SUMIFS(Data!$E:$E,Data!$A:$A,"&gt;="&amp;$B$2,Data!$A:$A,"&lt;="&amp;$D$2,Data!$C:$C,"OnlyFinder",Data!$B:$B,IF($F$2="All","*",$F$2))</f>
        <v/>
      </c>
      <c r="D6" s="12">
        <f>B6*F6</f>
        <v/>
      </c>
      <c r="E6" s="12">
        <f>IFERROR(D6/C6,"")</f>
        <v/>
      </c>
      <c r="F6" s="13" t="n">
        <v>0.75</v>
      </c>
      <c r="G6" s="14">
        <f>IFERROR(C6/B6,"")</f>
        <v/>
      </c>
      <c r="H6" s="15">
        <f>SUMIFS(Data!$G:$G,Data!$A:$A,"&gt;="&amp;$B$2,Data!$A:$A,"&lt;="&amp;$D$2,Data!$C:$C,"OnlyFinder",Data!$B:$B,IF($F$2="All","*",$F$2))</f>
        <v/>
      </c>
      <c r="I6" s="12">
        <f>IFERROR(SUMIFS(Cohort!$E:$E,Cohort!$B:$B,"OnlyFinder",Cohort!$A:$A,IF($F$2="All","*",$F$2))/SUMIFS(Cohort!$C:$C,Cohort!$B:$B,"OnlyFinder",Cohort!$A:$A,IF($F$2="All","*",$F$2)),"")</f>
        <v/>
      </c>
      <c r="J6" s="12">
        <f>IFERROR(SUMIFS(Cohort!$F:$F,Cohort!$B:$B,"OnlyFinder",Cohort!$A:$A,IF($F$2="All","*",$F$2))/SUMIFS(Cohort!$C:$C,Cohort!$B:$B,"OnlyFinder",Cohort!$A:$A,IF($F$2="All","*",$F$2)),"")</f>
        <v/>
      </c>
      <c r="K6" s="12">
        <f>IFERROR(SUMIFS(Cohort!$G:$G,Cohort!$B:$B,"OnlyFinder",Cohort!$A:$A,IF($F$2="All","*",$F$2))/SUMIFS(Cohort!$C:$C,Cohort!$B:$B,"OnlyFinder",Cohort!$A:$A,IF($F$2="All","*",$F$2)),"")</f>
        <v/>
      </c>
      <c r="L6" s="12">
        <f>IFERROR(SUMIFS(Cohort!$I:$I,Cohort!$B:$B,"OnlyFinder",Cohort!$A:$A,IF($F$2="All","*",$F$2))/SUMIFS(Cohort!$C:$C,Cohort!$B:$B,"OnlyFinder",Cohort!$A:$A,IF($F$2="All","*",$F$2)),"")</f>
        <v/>
      </c>
      <c r="M6" s="16">
        <f>IFERROR(H6/D6,"")</f>
        <v/>
      </c>
      <c r="N6" s="12">
        <f>H6-D6</f>
        <v/>
      </c>
    </row>
    <row r="7">
      <c r="A7" s="10" t="inlineStr">
        <is>
          <t>OnlyGuider</t>
        </is>
      </c>
      <c r="B7" s="11">
        <f>SUMIFS(Data!$D:$D,Data!$A:$A,"&gt;="&amp;$B$2,Data!$A:$A,"&lt;="&amp;$D$2,Data!$C:$C,"OnlyGuider",Data!$B:$B,IF($F$2="All","*",$F$2))</f>
        <v/>
      </c>
      <c r="C7" s="11">
        <f>SUMIFS(Data!$E:$E,Data!$A:$A,"&gt;="&amp;$B$2,Data!$A:$A,"&lt;="&amp;$D$2,Data!$C:$C,"OnlyGuider",Data!$B:$B,IF($F$2="All","*",$F$2))</f>
        <v/>
      </c>
      <c r="D7" s="12">
        <f>B7*F7</f>
        <v/>
      </c>
      <c r="E7" s="12">
        <f>IFERROR(D7/C7,"")</f>
        <v/>
      </c>
      <c r="F7" s="13" t="n">
        <v>0.75</v>
      </c>
      <c r="G7" s="14">
        <f>IFERROR(C7/B7,"")</f>
        <v/>
      </c>
      <c r="H7" s="15">
        <f>SUMIFS(Data!$G:$G,Data!$A:$A,"&gt;="&amp;$B$2,Data!$A:$A,"&lt;="&amp;$D$2,Data!$C:$C,"OnlyGuider",Data!$B:$B,IF($F$2="All","*",$F$2))</f>
        <v/>
      </c>
      <c r="I7" s="12">
        <f>IFERROR(SUMIFS(Cohort!$E:$E,Cohort!$B:$B,"OnlyGuider",Cohort!$A:$A,IF($F$2="All","*",$F$2))/SUMIFS(Cohort!$C:$C,Cohort!$B:$B,"OnlyGuider",Cohort!$A:$A,IF($F$2="All","*",$F$2)),"")</f>
        <v/>
      </c>
      <c r="J7" s="12">
        <f>IFERROR(SUMIFS(Cohort!$F:$F,Cohort!$B:$B,"OnlyGuider",Cohort!$A:$A,IF($F$2="All","*",$F$2))/SUMIFS(Cohort!$C:$C,Cohort!$B:$B,"OnlyGuider",Cohort!$A:$A,IF($F$2="All","*",$F$2)),"")</f>
        <v/>
      </c>
      <c r="K7" s="12">
        <f>IFERROR(SUMIFS(Cohort!$G:$G,Cohort!$B:$B,"OnlyGuider",Cohort!$A:$A,IF($F$2="All","*",$F$2))/SUMIFS(Cohort!$C:$C,Cohort!$B:$B,"OnlyGuider",Cohort!$A:$A,IF($F$2="All","*",$F$2)),"")</f>
        <v/>
      </c>
      <c r="L7" s="12">
        <f>IFERROR(SUMIFS(Cohort!$I:$I,Cohort!$B:$B,"OnlyGuider",Cohort!$A:$A,IF($F$2="All","*",$F$2))/SUMIFS(Cohort!$C:$C,Cohort!$B:$B,"OnlyGuider",Cohort!$A:$A,IF($F$2="All","*",$F$2)),"")</f>
        <v/>
      </c>
      <c r="M7" s="16">
        <f>IFERROR(H7/D7,"")</f>
        <v/>
      </c>
      <c r="N7" s="12">
        <f>H7-D7</f>
        <v/>
      </c>
    </row>
    <row r="8">
      <c r="A8" s="10" t="inlineStr">
        <is>
          <t>OnlySeeker</t>
        </is>
      </c>
      <c r="B8" s="11">
        <f>SUMIFS(Data!$D:$D,Data!$A:$A,"&gt;="&amp;$B$2,Data!$A:$A,"&lt;="&amp;$D$2,Data!$C:$C,"OnlySeeker",Data!$B:$B,IF($F$2="All","*",$F$2))</f>
        <v/>
      </c>
      <c r="C8" s="11">
        <f>SUMIFS(Data!$E:$E,Data!$A:$A,"&gt;="&amp;$B$2,Data!$A:$A,"&lt;="&amp;$D$2,Data!$C:$C,"OnlySeeker",Data!$B:$B,IF($F$2="All","*",$F$2))</f>
        <v/>
      </c>
      <c r="D8" s="12">
        <f>B8*F8</f>
        <v/>
      </c>
      <c r="E8" s="12">
        <f>IFERROR(D8/C8,"")</f>
        <v/>
      </c>
      <c r="F8" s="13" t="n">
        <v>0.75</v>
      </c>
      <c r="G8" s="14">
        <f>IFERROR(C8/B8,"")</f>
        <v/>
      </c>
      <c r="H8" s="15">
        <f>SUMIFS(Data!$G:$G,Data!$A:$A,"&gt;="&amp;$B$2,Data!$A:$A,"&lt;="&amp;$D$2,Data!$C:$C,"OnlySeeker",Data!$B:$B,IF($F$2="All","*",$F$2))</f>
        <v/>
      </c>
      <c r="I8" s="12">
        <f>IFERROR(SUMIFS(Cohort!$E:$E,Cohort!$B:$B,"OnlySeeker",Cohort!$A:$A,IF($F$2="All","*",$F$2))/SUMIFS(Cohort!$C:$C,Cohort!$B:$B,"OnlySeeker",Cohort!$A:$A,IF($F$2="All","*",$F$2)),"")</f>
        <v/>
      </c>
      <c r="J8" s="12">
        <f>IFERROR(SUMIFS(Cohort!$F:$F,Cohort!$B:$B,"OnlySeeker",Cohort!$A:$A,IF($F$2="All","*",$F$2))/SUMIFS(Cohort!$C:$C,Cohort!$B:$B,"OnlySeeker",Cohort!$A:$A,IF($F$2="All","*",$F$2)),"")</f>
        <v/>
      </c>
      <c r="K8" s="12">
        <f>IFERROR(SUMIFS(Cohort!$G:$G,Cohort!$B:$B,"OnlySeeker",Cohort!$A:$A,IF($F$2="All","*",$F$2))/SUMIFS(Cohort!$C:$C,Cohort!$B:$B,"OnlySeeker",Cohort!$A:$A,IF($F$2="All","*",$F$2)),"")</f>
        <v/>
      </c>
      <c r="L8" s="12">
        <f>IFERROR(SUMIFS(Cohort!$I:$I,Cohort!$B:$B,"OnlySeeker",Cohort!$A:$A,IF($F$2="All","*",$F$2))/SUMIFS(Cohort!$C:$C,Cohort!$B:$B,"OnlySeeker",Cohort!$A:$A,IF($F$2="All","*",$F$2)),"")</f>
        <v/>
      </c>
      <c r="M8" s="16">
        <f>IFERROR(H8/D8,"")</f>
        <v/>
      </c>
      <c r="N8" s="12">
        <f>H8-D8</f>
        <v/>
      </c>
    </row>
    <row r="9">
      <c r="A9" s="10" t="inlineStr">
        <is>
          <t>OnlyTraffic</t>
        </is>
      </c>
      <c r="B9" s="11">
        <f>SUMIFS(Data!$D:$D,Data!$A:$A,"&gt;="&amp;$B$2,Data!$A:$A,"&lt;="&amp;$D$2,Data!$C:$C,"OnlyTraffic",Data!$B:$B,IF($F$2="All","*",$F$2))</f>
        <v/>
      </c>
      <c r="C9" s="11">
        <f>SUMIFS(Data!$E:$E,Data!$A:$A,"&gt;="&amp;$B$2,Data!$A:$A,"&lt;="&amp;$D$2,Data!$C:$C,"OnlyTraffic",Data!$B:$B,IF($F$2="All","*",$F$2))</f>
        <v/>
      </c>
      <c r="D9" s="12">
        <f>B9*F9</f>
        <v/>
      </c>
      <c r="E9" s="12">
        <f>IFERROR(D9/C9,"")</f>
        <v/>
      </c>
      <c r="F9" s="13" t="n">
        <v>0.75</v>
      </c>
      <c r="G9" s="14">
        <f>IFERROR(C9/B9,"")</f>
        <v/>
      </c>
      <c r="H9" s="15">
        <f>SUMIFS(Data!$G:$G,Data!$A:$A,"&gt;="&amp;$B$2,Data!$A:$A,"&lt;="&amp;$D$2,Data!$C:$C,"OnlyTraffic",Data!$B:$B,IF($F$2="All","*",$F$2))</f>
        <v/>
      </c>
      <c r="I9" s="12">
        <f>IFERROR(SUMIFS(Cohort!$E:$E,Cohort!$B:$B,"OnlyTraffic",Cohort!$A:$A,IF($F$2="All","*",$F$2))/SUMIFS(Cohort!$C:$C,Cohort!$B:$B,"OnlyTraffic",Cohort!$A:$A,IF($F$2="All","*",$F$2)),"")</f>
        <v/>
      </c>
      <c r="J9" s="12">
        <f>IFERROR(SUMIFS(Cohort!$F:$F,Cohort!$B:$B,"OnlyTraffic",Cohort!$A:$A,IF($F$2="All","*",$F$2))/SUMIFS(Cohort!$C:$C,Cohort!$B:$B,"OnlyTraffic",Cohort!$A:$A,IF($F$2="All","*",$F$2)),"")</f>
        <v/>
      </c>
      <c r="K9" s="12">
        <f>IFERROR(SUMIFS(Cohort!$G:$G,Cohort!$B:$B,"OnlyTraffic",Cohort!$A:$A,IF($F$2="All","*",$F$2))/SUMIFS(Cohort!$C:$C,Cohort!$B:$B,"OnlyTraffic",Cohort!$A:$A,IF($F$2="All","*",$F$2)),"")</f>
        <v/>
      </c>
      <c r="L9" s="12">
        <f>IFERROR(SUMIFS(Cohort!$I:$I,Cohort!$B:$B,"OnlyTraffic",Cohort!$A:$A,IF($F$2="All","*",$F$2))/SUMIFS(Cohort!$C:$C,Cohort!$B:$B,"OnlyTraffic",Cohort!$A:$A,IF($F$2="All","*",$F$2)),"")</f>
        <v/>
      </c>
      <c r="M9" s="16">
        <f>IFERROR(H9/D9,"")</f>
        <v/>
      </c>
      <c r="N9" s="12">
        <f>H9-D9</f>
        <v/>
      </c>
    </row>
    <row r="10">
      <c r="A10" s="17" t="inlineStr">
        <is>
          <t>TOTAL</t>
        </is>
      </c>
      <c r="B10" s="11">
        <f>SUMIFS(Data!$D:$D,Data!$A:$A,"&gt;="&amp;$B$2,Data!$A:$A,"&lt;="&amp;$D$2,Data!$B:$B,IF($F$2="All","*",$F$2))</f>
        <v/>
      </c>
      <c r="C10" s="11">
        <f>SUMIFS(Data!$E:$E,Data!$A:$A,"&gt;="&amp;$B$2,Data!$A:$A,"&lt;="&amp;$D$2,Data!$B:$B,IF($F$2="All","*",$F$2))</f>
        <v/>
      </c>
      <c r="D10" s="15">
        <f>SUM(D5:D9)</f>
        <v/>
      </c>
      <c r="E10" s="12">
        <f>IFERROR(D10/C10,"")</f>
        <v/>
      </c>
      <c r="F10" s="12">
        <f>IFERROR(D10/B10,"")</f>
        <v/>
      </c>
      <c r="G10" s="14">
        <f>IFERROR(C10/B10,"")</f>
        <v/>
      </c>
      <c r="H10" s="15">
        <f>SUMIFS(Data!$G:$G,Data!$A:$A,"&gt;="&amp;$B$2,Data!$A:$A,"&lt;="&amp;$D$2,Data!$B:$B,IF($F$2="All","*",$F$2))</f>
        <v/>
      </c>
      <c r="I10" s="12">
        <f>IFERROR(SUMIFS(Cohort!$E:$E,Cohort!$A:$A,IF($F$2="All","*",$F$2))/SUMIFS(Cohort!$C:$C,Cohort!$A:$A,IF($F$2="All","*",$F$2)),"")</f>
        <v/>
      </c>
      <c r="J10" s="12">
        <f>IFERROR(SUMIFS(Cohort!$F:$F,Cohort!$A:$A,IF($F$2="All","*",$F$2))/SUMIFS(Cohort!$C:$C,Cohort!$A:$A,IF($F$2="All","*",$F$2)),"")</f>
        <v/>
      </c>
      <c r="K10" s="12">
        <f>IFERROR(SUMIFS(Cohort!$G:$G,Cohort!$A:$A,IF($F$2="All","*",$F$2))/SUMIFS(Cohort!$C:$C,Cohort!$A:$A,IF($F$2="All","*",$F$2)),"")</f>
        <v/>
      </c>
      <c r="L10" s="12">
        <f>IFERROR(SUMIFS(Cohort!$I:$I,Cohort!$A:$A,IF($F$2="All","*",$F$2))/SUMIFS(Cohort!$C:$C,Cohort!$A:$A,IF($F$2="All","*",$F$2)),"")</f>
        <v/>
      </c>
      <c r="M10" s="16">
        <f>IFERROR(H10/D10,"")</f>
        <v/>
      </c>
      <c r="N10" s="12">
        <f>H10-D10</f>
        <v/>
      </c>
    </row>
    <row r="12">
      <c r="A12" s="18" t="inlineStr">
        <is>
          <t>DAY BY DAY  (this week + the next 7 days, by platform — for the chosen creator. Type the Relevance score in yourself.)</t>
        </is>
      </c>
    </row>
    <row r="13">
      <c r="A13" s="19" t="inlineStr">
        <is>
          <t>Day / Platform</t>
        </is>
      </c>
      <c r="B13" s="9" t="inlineStr">
        <is>
          <t>Clicks</t>
        </is>
      </c>
      <c r="C13" s="9" t="inlineStr">
        <is>
          <t>Fans</t>
        </is>
      </c>
      <c r="D13" s="9" t="inlineStr">
        <is>
          <t>Spend</t>
        </is>
      </c>
      <c r="E13" s="9" t="inlineStr">
        <is>
          <t>Cost Per Fan</t>
        </is>
      </c>
      <c r="F13" s="9" t="inlineStr">
        <is>
          <t>CPC</t>
        </is>
      </c>
      <c r="G13" s="9" t="inlineStr">
        <is>
          <t>CVR</t>
        </is>
      </c>
      <c r="H13" s="9" t="inlineStr">
        <is>
          <t>Attributed Revenue</t>
        </is>
      </c>
      <c r="I13" s="9" t="inlineStr">
        <is>
          <t>Total Link LTV</t>
        </is>
      </c>
      <c r="J13" s="9" t="inlineStr">
        <is>
          <t>ROAS</t>
        </is>
      </c>
      <c r="K13" s="9" t="inlineStr">
        <is>
          <t>Agency Profit</t>
        </is>
      </c>
      <c r="L13" s="9" t="inlineStr">
        <is>
          <t>Relevance</t>
        </is>
      </c>
    </row>
    <row r="14">
      <c r="A14" s="20">
        <f>$B$2+0</f>
        <v/>
      </c>
      <c r="B14" s="21">
        <f>SUMIFS(Data!$D:$D,Data!$A:$A,$A14,Data!$B:$B,IF($F$2="All","*",$F$2))</f>
        <v/>
      </c>
      <c r="C14" s="21">
        <f>SUMIFS(Data!$E:$E,Data!$A:$A,$A14,Data!$B:$B,IF($F$2="All","*",$F$2))</f>
        <v/>
      </c>
      <c r="D14" s="22">
        <f>SUMIFS(Data!$F:$F,Data!$A:$A,$A14,Data!$B:$B,IF($F$2="All","*",$F$2))</f>
        <v/>
      </c>
      <c r="E14" s="22">
        <f>IFERROR(D14/C14,"")</f>
        <v/>
      </c>
      <c r="F14" s="22">
        <f>IFERROR(D14/B14,"")</f>
        <v/>
      </c>
      <c r="G14" s="23">
        <f>IFERROR(C14/B14,"")</f>
        <v/>
      </c>
      <c r="H14" s="22">
        <f>SUMIFS(Data!$G:$G,Data!$A:$A,$A14,Data!$B:$B,IF($F$2="All","*",$F$2))</f>
        <v/>
      </c>
      <c r="I14" s="22">
        <f>IFERROR(H14/C14,"")</f>
        <v/>
      </c>
      <c r="J14" s="24">
        <f>IFERROR(H14/D14,"")</f>
        <v/>
      </c>
      <c r="K14" s="22">
        <f>H14-D14</f>
        <v/>
      </c>
      <c r="L14" s="25" t="inlineStr"/>
    </row>
    <row r="15">
      <c r="A15" s="10" t="inlineStr">
        <is>
          <t xml:space="preserve">    Meta</t>
        </is>
      </c>
      <c r="B15" s="11">
        <f>SUMIFS(Data!$D:$D,Data!$A:$A,$A14,Data!$C:$C,"Meta",Data!$B:$B,IF($F$2="All","*",$F$2))</f>
        <v/>
      </c>
      <c r="C15" s="11">
        <f>SUMIFS(Data!$E:$E,Data!$A:$A,$A14,Data!$C:$C,"Meta",Data!$B:$B,IF($F$2="All","*",$F$2))</f>
        <v/>
      </c>
      <c r="D15" s="15">
        <f>SUMIFS(Data!$F:$F,Data!$A:$A,$A14,Data!$C:$C,"Meta",Data!$B:$B,IF($F$2="All","*",$F$2))</f>
        <v/>
      </c>
      <c r="E15" s="12">
        <f>IFERROR(D15/C15,"")</f>
        <v/>
      </c>
      <c r="F15" s="12">
        <f>IFERROR(D15/B15,"")</f>
        <v/>
      </c>
      <c r="G15" s="14">
        <f>IFERROR(C15/B15,"")</f>
        <v/>
      </c>
      <c r="H15" s="15">
        <f>SUMIFS(Data!$G:$G,Data!$A:$A,$A14,Data!$C:$C,"Meta",Data!$B:$B,IF($F$2="All","*",$F$2))</f>
        <v/>
      </c>
      <c r="I15" s="12">
        <f>IFERROR(H15/C15,"")</f>
        <v/>
      </c>
      <c r="J15" s="16">
        <f>IFERROR(H15/D15,"")</f>
        <v/>
      </c>
      <c r="K15" s="12">
        <f>H15-D15</f>
        <v/>
      </c>
      <c r="L15" s="26" t="inlineStr"/>
    </row>
    <row r="16">
      <c r="A16" s="10" t="inlineStr">
        <is>
          <t xml:space="preserve">    OnlyFinder</t>
        </is>
      </c>
      <c r="B16" s="11">
        <f>SUMIFS(Data!$D:$D,Data!$A:$A,$A14,Data!$C:$C,"OnlyFinder",Data!$B:$B,IF($F$2="All","*",$F$2))</f>
        <v/>
      </c>
      <c r="C16" s="11">
        <f>SUMIFS(Data!$E:$E,Data!$A:$A,$A14,Data!$C:$C,"OnlyFinder",Data!$B:$B,IF($F$2="All","*",$F$2))</f>
        <v/>
      </c>
      <c r="D16" s="15">
        <f>SUMIFS(Data!$F:$F,Data!$A:$A,$A14,Data!$C:$C,"OnlyFinder",Data!$B:$B,IF($F$2="All","*",$F$2))</f>
        <v/>
      </c>
      <c r="E16" s="12">
        <f>IFERROR(D16/C16,"")</f>
        <v/>
      </c>
      <c r="F16" s="12">
        <f>IFERROR(D16/B16,"")</f>
        <v/>
      </c>
      <c r="G16" s="14">
        <f>IFERROR(C16/B16,"")</f>
        <v/>
      </c>
      <c r="H16" s="15">
        <f>SUMIFS(Data!$G:$G,Data!$A:$A,$A14,Data!$C:$C,"OnlyFinder",Data!$B:$B,IF($F$2="All","*",$F$2))</f>
        <v/>
      </c>
      <c r="I16" s="12">
        <f>IFERROR(H16/C16,"")</f>
        <v/>
      </c>
      <c r="J16" s="16">
        <f>IFERROR(H16/D16,"")</f>
        <v/>
      </c>
      <c r="K16" s="12">
        <f>H16-D16</f>
        <v/>
      </c>
      <c r="L16" s="26" t="inlineStr"/>
    </row>
    <row r="17">
      <c r="A17" s="10" t="inlineStr">
        <is>
          <t xml:space="preserve">    OnlyGuider</t>
        </is>
      </c>
      <c r="B17" s="11">
        <f>SUMIFS(Data!$D:$D,Data!$A:$A,$A14,Data!$C:$C,"OnlyGuider",Data!$B:$B,IF($F$2="All","*",$F$2))</f>
        <v/>
      </c>
      <c r="C17" s="11">
        <f>SUMIFS(Data!$E:$E,Data!$A:$A,$A14,Data!$C:$C,"OnlyGuider",Data!$B:$B,IF($F$2="All","*",$F$2))</f>
        <v/>
      </c>
      <c r="D17" s="15">
        <f>SUMIFS(Data!$F:$F,Data!$A:$A,$A14,Data!$C:$C,"OnlyGuider",Data!$B:$B,IF($F$2="All","*",$F$2))</f>
        <v/>
      </c>
      <c r="E17" s="12">
        <f>IFERROR(D17/C17,"")</f>
        <v/>
      </c>
      <c r="F17" s="12">
        <f>IFERROR(D17/B17,"")</f>
        <v/>
      </c>
      <c r="G17" s="14">
        <f>IFERROR(C17/B17,"")</f>
        <v/>
      </c>
      <c r="H17" s="15">
        <f>SUMIFS(Data!$G:$G,Data!$A:$A,$A14,Data!$C:$C,"OnlyGuider",Data!$B:$B,IF($F$2="All","*",$F$2))</f>
        <v/>
      </c>
      <c r="I17" s="12">
        <f>IFERROR(H17/C17,"")</f>
        <v/>
      </c>
      <c r="J17" s="16">
        <f>IFERROR(H17/D17,"")</f>
        <v/>
      </c>
      <c r="K17" s="12">
        <f>H17-D17</f>
        <v/>
      </c>
      <c r="L17" s="26" t="inlineStr"/>
    </row>
    <row r="18">
      <c r="A18" s="10" t="inlineStr">
        <is>
          <t xml:space="preserve">    OnlySeeker</t>
        </is>
      </c>
      <c r="B18" s="11">
        <f>SUMIFS(Data!$D:$D,Data!$A:$A,$A14,Data!$C:$C,"OnlySeeker",Data!$B:$B,IF($F$2="All","*",$F$2))</f>
        <v/>
      </c>
      <c r="C18" s="11">
        <f>SUMIFS(Data!$E:$E,Data!$A:$A,$A14,Data!$C:$C,"OnlySeeker",Data!$B:$B,IF($F$2="All","*",$F$2))</f>
        <v/>
      </c>
      <c r="D18" s="15">
        <f>SUMIFS(Data!$F:$F,Data!$A:$A,$A14,Data!$C:$C,"OnlySeeker",Data!$B:$B,IF($F$2="All","*",$F$2))</f>
        <v/>
      </c>
      <c r="E18" s="12">
        <f>IFERROR(D18/C18,"")</f>
        <v/>
      </c>
      <c r="F18" s="12">
        <f>IFERROR(D18/B18,"")</f>
        <v/>
      </c>
      <c r="G18" s="14">
        <f>IFERROR(C18/B18,"")</f>
        <v/>
      </c>
      <c r="H18" s="15">
        <f>SUMIFS(Data!$G:$G,Data!$A:$A,$A14,Data!$C:$C,"OnlySeeker",Data!$B:$B,IF($F$2="All","*",$F$2))</f>
        <v/>
      </c>
      <c r="I18" s="12">
        <f>IFERROR(H18/C18,"")</f>
        <v/>
      </c>
      <c r="J18" s="16">
        <f>IFERROR(H18/D18,"")</f>
        <v/>
      </c>
      <c r="K18" s="12">
        <f>H18-D18</f>
        <v/>
      </c>
      <c r="L18" s="26" t="inlineStr"/>
    </row>
    <row r="19">
      <c r="A19" s="10" t="inlineStr">
        <is>
          <t xml:space="preserve">    OnlyTraffic</t>
        </is>
      </c>
      <c r="B19" s="11">
        <f>SUMIFS(Data!$D:$D,Data!$A:$A,$A14,Data!$C:$C,"OnlyTraffic",Data!$B:$B,IF($F$2="All","*",$F$2))</f>
        <v/>
      </c>
      <c r="C19" s="11">
        <f>SUMIFS(Data!$E:$E,Data!$A:$A,$A14,Data!$C:$C,"OnlyTraffic",Data!$B:$B,IF($F$2="All","*",$F$2))</f>
        <v/>
      </c>
      <c r="D19" s="15">
        <f>SUMIFS(Data!$F:$F,Data!$A:$A,$A14,Data!$C:$C,"OnlyTraffic",Data!$B:$B,IF($F$2="All","*",$F$2))</f>
        <v/>
      </c>
      <c r="E19" s="12">
        <f>IFERROR(D19/C19,"")</f>
        <v/>
      </c>
      <c r="F19" s="12">
        <f>IFERROR(D19/B19,"")</f>
        <v/>
      </c>
      <c r="G19" s="14">
        <f>IFERROR(C19/B19,"")</f>
        <v/>
      </c>
      <c r="H19" s="15">
        <f>SUMIFS(Data!$G:$G,Data!$A:$A,$A14,Data!$C:$C,"OnlyTraffic",Data!$B:$B,IF($F$2="All","*",$F$2))</f>
        <v/>
      </c>
      <c r="I19" s="12">
        <f>IFERROR(H19/C19,"")</f>
        <v/>
      </c>
      <c r="J19" s="16">
        <f>IFERROR(H19/D19,"")</f>
        <v/>
      </c>
      <c r="K19" s="12">
        <f>H19-D19</f>
        <v/>
      </c>
      <c r="L19" s="26" t="inlineStr"/>
    </row>
    <row r="20">
      <c r="A20" s="20">
        <f>$B$2+1</f>
        <v/>
      </c>
      <c r="B20" s="21">
        <f>SUMIFS(Data!$D:$D,Data!$A:$A,$A20,Data!$B:$B,IF($F$2="All","*",$F$2))</f>
        <v/>
      </c>
      <c r="C20" s="21">
        <f>SUMIFS(Data!$E:$E,Data!$A:$A,$A20,Data!$B:$B,IF($F$2="All","*",$F$2))</f>
        <v/>
      </c>
      <c r="D20" s="22">
        <f>SUMIFS(Data!$F:$F,Data!$A:$A,$A20,Data!$B:$B,IF($F$2="All","*",$F$2))</f>
        <v/>
      </c>
      <c r="E20" s="22">
        <f>IFERROR(D20/C20,"")</f>
        <v/>
      </c>
      <c r="F20" s="22">
        <f>IFERROR(D20/B20,"")</f>
        <v/>
      </c>
      <c r="G20" s="23">
        <f>IFERROR(C20/B20,"")</f>
        <v/>
      </c>
      <c r="H20" s="22">
        <f>SUMIFS(Data!$G:$G,Data!$A:$A,$A20,Data!$B:$B,IF($F$2="All","*",$F$2))</f>
        <v/>
      </c>
      <c r="I20" s="22">
        <f>IFERROR(H20/C20,"")</f>
        <v/>
      </c>
      <c r="J20" s="24">
        <f>IFERROR(H20/D20,"")</f>
        <v/>
      </c>
      <c r="K20" s="22">
        <f>H20-D20</f>
        <v/>
      </c>
      <c r="L20" s="25" t="inlineStr"/>
    </row>
    <row r="21">
      <c r="A21" s="10" t="inlineStr">
        <is>
          <t xml:space="preserve">    Meta</t>
        </is>
      </c>
      <c r="B21" s="11">
        <f>SUMIFS(Data!$D:$D,Data!$A:$A,$A20,Data!$C:$C,"Meta",Data!$B:$B,IF($F$2="All","*",$F$2))</f>
        <v/>
      </c>
      <c r="C21" s="11">
        <f>SUMIFS(Data!$E:$E,Data!$A:$A,$A20,Data!$C:$C,"Meta",Data!$B:$B,IF($F$2="All","*",$F$2))</f>
        <v/>
      </c>
      <c r="D21" s="15">
        <f>SUMIFS(Data!$F:$F,Data!$A:$A,$A20,Data!$C:$C,"Meta",Data!$B:$B,IF($F$2="All","*",$F$2))</f>
        <v/>
      </c>
      <c r="E21" s="12">
        <f>IFERROR(D21/C21,"")</f>
        <v/>
      </c>
      <c r="F21" s="12">
        <f>IFERROR(D21/B21,"")</f>
        <v/>
      </c>
      <c r="G21" s="14">
        <f>IFERROR(C21/B21,"")</f>
        <v/>
      </c>
      <c r="H21" s="15">
        <f>SUMIFS(Data!$G:$G,Data!$A:$A,$A20,Data!$C:$C,"Meta",Data!$B:$B,IF($F$2="All","*",$F$2))</f>
        <v/>
      </c>
      <c r="I21" s="12">
        <f>IFERROR(H21/C21,"")</f>
        <v/>
      </c>
      <c r="J21" s="16">
        <f>IFERROR(H21/D21,"")</f>
        <v/>
      </c>
      <c r="K21" s="12">
        <f>H21-D21</f>
        <v/>
      </c>
      <c r="L21" s="26" t="inlineStr"/>
    </row>
    <row r="22">
      <c r="A22" s="10" t="inlineStr">
        <is>
          <t xml:space="preserve">    OnlyFinder</t>
        </is>
      </c>
      <c r="B22" s="11">
        <f>SUMIFS(Data!$D:$D,Data!$A:$A,$A20,Data!$C:$C,"OnlyFinder",Data!$B:$B,IF($F$2="All","*",$F$2))</f>
        <v/>
      </c>
      <c r="C22" s="11">
        <f>SUMIFS(Data!$E:$E,Data!$A:$A,$A20,Data!$C:$C,"OnlyFinder",Data!$B:$B,IF($F$2="All","*",$F$2))</f>
        <v/>
      </c>
      <c r="D22" s="15">
        <f>SUMIFS(Data!$F:$F,Data!$A:$A,$A20,Data!$C:$C,"OnlyFinder",Data!$B:$B,IF($F$2="All","*",$F$2))</f>
        <v/>
      </c>
      <c r="E22" s="12">
        <f>IFERROR(D22/C22,"")</f>
        <v/>
      </c>
      <c r="F22" s="12">
        <f>IFERROR(D22/B22,"")</f>
        <v/>
      </c>
      <c r="G22" s="14">
        <f>IFERROR(C22/B22,"")</f>
        <v/>
      </c>
      <c r="H22" s="15">
        <f>SUMIFS(Data!$G:$G,Data!$A:$A,$A20,Data!$C:$C,"OnlyFinder",Data!$B:$B,IF($F$2="All","*",$F$2))</f>
        <v/>
      </c>
      <c r="I22" s="12">
        <f>IFERROR(H22/C22,"")</f>
        <v/>
      </c>
      <c r="J22" s="16">
        <f>IFERROR(H22/D22,"")</f>
        <v/>
      </c>
      <c r="K22" s="12">
        <f>H22-D22</f>
        <v/>
      </c>
      <c r="L22" s="26" t="inlineStr"/>
    </row>
    <row r="23">
      <c r="A23" s="10" t="inlineStr">
        <is>
          <t xml:space="preserve">    OnlyGuider</t>
        </is>
      </c>
      <c r="B23" s="11">
        <f>SUMIFS(Data!$D:$D,Data!$A:$A,$A20,Data!$C:$C,"OnlyGuider",Data!$B:$B,IF($F$2="All","*",$F$2))</f>
        <v/>
      </c>
      <c r="C23" s="11">
        <f>SUMIFS(Data!$E:$E,Data!$A:$A,$A20,Data!$C:$C,"OnlyGuider",Data!$B:$B,IF($F$2="All","*",$F$2))</f>
        <v/>
      </c>
      <c r="D23" s="15">
        <f>SUMIFS(Data!$F:$F,Data!$A:$A,$A20,Data!$C:$C,"OnlyGuider",Data!$B:$B,IF($F$2="All","*",$F$2))</f>
        <v/>
      </c>
      <c r="E23" s="12">
        <f>IFERROR(D23/C23,"")</f>
        <v/>
      </c>
      <c r="F23" s="12">
        <f>IFERROR(D23/B23,"")</f>
        <v/>
      </c>
      <c r="G23" s="14">
        <f>IFERROR(C23/B23,"")</f>
        <v/>
      </c>
      <c r="H23" s="15">
        <f>SUMIFS(Data!$G:$G,Data!$A:$A,$A20,Data!$C:$C,"OnlyGuider",Data!$B:$B,IF($F$2="All","*",$F$2))</f>
        <v/>
      </c>
      <c r="I23" s="12">
        <f>IFERROR(H23/C23,"")</f>
        <v/>
      </c>
      <c r="J23" s="16">
        <f>IFERROR(H23/D23,"")</f>
        <v/>
      </c>
      <c r="K23" s="12">
        <f>H23-D23</f>
        <v/>
      </c>
      <c r="L23" s="26" t="inlineStr"/>
    </row>
    <row r="24">
      <c r="A24" s="10" t="inlineStr">
        <is>
          <t xml:space="preserve">    OnlySeeker</t>
        </is>
      </c>
      <c r="B24" s="11">
        <f>SUMIFS(Data!$D:$D,Data!$A:$A,$A20,Data!$C:$C,"OnlySeeker",Data!$B:$B,IF($F$2="All","*",$F$2))</f>
        <v/>
      </c>
      <c r="C24" s="11">
        <f>SUMIFS(Data!$E:$E,Data!$A:$A,$A20,Data!$C:$C,"OnlySeeker",Data!$B:$B,IF($F$2="All","*",$F$2))</f>
        <v/>
      </c>
      <c r="D24" s="15">
        <f>SUMIFS(Data!$F:$F,Data!$A:$A,$A20,Data!$C:$C,"OnlySeeker",Data!$B:$B,IF($F$2="All","*",$F$2))</f>
        <v/>
      </c>
      <c r="E24" s="12">
        <f>IFERROR(D24/C24,"")</f>
        <v/>
      </c>
      <c r="F24" s="12">
        <f>IFERROR(D24/B24,"")</f>
        <v/>
      </c>
      <c r="G24" s="14">
        <f>IFERROR(C24/B24,"")</f>
        <v/>
      </c>
      <c r="H24" s="15">
        <f>SUMIFS(Data!$G:$G,Data!$A:$A,$A20,Data!$C:$C,"OnlySeeker",Data!$B:$B,IF($F$2="All","*",$F$2))</f>
        <v/>
      </c>
      <c r="I24" s="12">
        <f>IFERROR(H24/C24,"")</f>
        <v/>
      </c>
      <c r="J24" s="16">
        <f>IFERROR(H24/D24,"")</f>
        <v/>
      </c>
      <c r="K24" s="12">
        <f>H24-D24</f>
        <v/>
      </c>
      <c r="L24" s="26" t="inlineStr"/>
    </row>
    <row r="25">
      <c r="A25" s="10" t="inlineStr">
        <is>
          <t xml:space="preserve">    OnlyTraffic</t>
        </is>
      </c>
      <c r="B25" s="11">
        <f>SUMIFS(Data!$D:$D,Data!$A:$A,$A20,Data!$C:$C,"OnlyTraffic",Data!$B:$B,IF($F$2="All","*",$F$2))</f>
        <v/>
      </c>
      <c r="C25" s="11">
        <f>SUMIFS(Data!$E:$E,Data!$A:$A,$A20,Data!$C:$C,"OnlyTraffic",Data!$B:$B,IF($F$2="All","*",$F$2))</f>
        <v/>
      </c>
      <c r="D25" s="15">
        <f>SUMIFS(Data!$F:$F,Data!$A:$A,$A20,Data!$C:$C,"OnlyTraffic",Data!$B:$B,IF($F$2="All","*",$F$2))</f>
        <v/>
      </c>
      <c r="E25" s="12">
        <f>IFERROR(D25/C25,"")</f>
        <v/>
      </c>
      <c r="F25" s="12">
        <f>IFERROR(D25/B25,"")</f>
        <v/>
      </c>
      <c r="G25" s="14">
        <f>IFERROR(C25/B25,"")</f>
        <v/>
      </c>
      <c r="H25" s="15">
        <f>SUMIFS(Data!$G:$G,Data!$A:$A,$A20,Data!$C:$C,"OnlyTraffic",Data!$B:$B,IF($F$2="All","*",$F$2))</f>
        <v/>
      </c>
      <c r="I25" s="12">
        <f>IFERROR(H25/C25,"")</f>
        <v/>
      </c>
      <c r="J25" s="16">
        <f>IFERROR(H25/D25,"")</f>
        <v/>
      </c>
      <c r="K25" s="12">
        <f>H25-D25</f>
        <v/>
      </c>
      <c r="L25" s="26" t="inlineStr"/>
    </row>
    <row r="26">
      <c r="A26" s="20">
        <f>$B$2+2</f>
        <v/>
      </c>
      <c r="B26" s="21">
        <f>SUMIFS(Data!$D:$D,Data!$A:$A,$A26,Data!$B:$B,IF($F$2="All","*",$F$2))</f>
        <v/>
      </c>
      <c r="C26" s="21">
        <f>SUMIFS(Data!$E:$E,Data!$A:$A,$A26,Data!$B:$B,IF($F$2="All","*",$F$2))</f>
        <v/>
      </c>
      <c r="D26" s="22">
        <f>SUMIFS(Data!$F:$F,Data!$A:$A,$A26,Data!$B:$B,IF($F$2="All","*",$F$2))</f>
        <v/>
      </c>
      <c r="E26" s="22">
        <f>IFERROR(D26/C26,"")</f>
        <v/>
      </c>
      <c r="F26" s="22">
        <f>IFERROR(D26/B26,"")</f>
        <v/>
      </c>
      <c r="G26" s="23">
        <f>IFERROR(C26/B26,"")</f>
        <v/>
      </c>
      <c r="H26" s="22">
        <f>SUMIFS(Data!$G:$G,Data!$A:$A,$A26,Data!$B:$B,IF($F$2="All","*",$F$2))</f>
        <v/>
      </c>
      <c r="I26" s="22">
        <f>IFERROR(H26/C26,"")</f>
        <v/>
      </c>
      <c r="J26" s="24">
        <f>IFERROR(H26/D26,"")</f>
        <v/>
      </c>
      <c r="K26" s="22">
        <f>H26-D26</f>
        <v/>
      </c>
      <c r="L26" s="25" t="inlineStr"/>
    </row>
    <row r="27">
      <c r="A27" s="10" t="inlineStr">
        <is>
          <t xml:space="preserve">    Meta</t>
        </is>
      </c>
      <c r="B27" s="11">
        <f>SUMIFS(Data!$D:$D,Data!$A:$A,$A26,Data!$C:$C,"Meta",Data!$B:$B,IF($F$2="All","*",$F$2))</f>
        <v/>
      </c>
      <c r="C27" s="11">
        <f>SUMIFS(Data!$E:$E,Data!$A:$A,$A26,Data!$C:$C,"Meta",Data!$B:$B,IF($F$2="All","*",$F$2))</f>
        <v/>
      </c>
      <c r="D27" s="15">
        <f>SUMIFS(Data!$F:$F,Data!$A:$A,$A26,Data!$C:$C,"Meta",Data!$B:$B,IF($F$2="All","*",$F$2))</f>
        <v/>
      </c>
      <c r="E27" s="12">
        <f>IFERROR(D27/C27,"")</f>
        <v/>
      </c>
      <c r="F27" s="12">
        <f>IFERROR(D27/B27,"")</f>
        <v/>
      </c>
      <c r="G27" s="14">
        <f>IFERROR(C27/B27,"")</f>
        <v/>
      </c>
      <c r="H27" s="15">
        <f>SUMIFS(Data!$G:$G,Data!$A:$A,$A26,Data!$C:$C,"Meta",Data!$B:$B,IF($F$2="All","*",$F$2))</f>
        <v/>
      </c>
      <c r="I27" s="12">
        <f>IFERROR(H27/C27,"")</f>
        <v/>
      </c>
      <c r="J27" s="16">
        <f>IFERROR(H27/D27,"")</f>
        <v/>
      </c>
      <c r="K27" s="12">
        <f>H27-D27</f>
        <v/>
      </c>
      <c r="L27" s="26" t="inlineStr"/>
    </row>
    <row r="28">
      <c r="A28" s="10" t="inlineStr">
        <is>
          <t xml:space="preserve">    OnlyFinder</t>
        </is>
      </c>
      <c r="B28" s="11">
        <f>SUMIFS(Data!$D:$D,Data!$A:$A,$A26,Data!$C:$C,"OnlyFinder",Data!$B:$B,IF($F$2="All","*",$F$2))</f>
        <v/>
      </c>
      <c r="C28" s="11">
        <f>SUMIFS(Data!$E:$E,Data!$A:$A,$A26,Data!$C:$C,"OnlyFinder",Data!$B:$B,IF($F$2="All","*",$F$2))</f>
        <v/>
      </c>
      <c r="D28" s="15">
        <f>SUMIFS(Data!$F:$F,Data!$A:$A,$A26,Data!$C:$C,"OnlyFinder",Data!$B:$B,IF($F$2="All","*",$F$2))</f>
        <v/>
      </c>
      <c r="E28" s="12">
        <f>IFERROR(D28/C28,"")</f>
        <v/>
      </c>
      <c r="F28" s="12">
        <f>IFERROR(D28/B28,"")</f>
        <v/>
      </c>
      <c r="G28" s="14">
        <f>IFERROR(C28/B28,"")</f>
        <v/>
      </c>
      <c r="H28" s="15">
        <f>SUMIFS(Data!$G:$G,Data!$A:$A,$A26,Data!$C:$C,"OnlyFinder",Data!$B:$B,IF($F$2="All","*",$F$2))</f>
        <v/>
      </c>
      <c r="I28" s="12">
        <f>IFERROR(H28/C28,"")</f>
        <v/>
      </c>
      <c r="J28" s="16">
        <f>IFERROR(H28/D28,"")</f>
        <v/>
      </c>
      <c r="K28" s="12">
        <f>H28-D28</f>
        <v/>
      </c>
      <c r="L28" s="26" t="inlineStr"/>
    </row>
    <row r="29">
      <c r="A29" s="10" t="inlineStr">
        <is>
          <t xml:space="preserve">    OnlyGuider</t>
        </is>
      </c>
      <c r="B29" s="11">
        <f>SUMIFS(Data!$D:$D,Data!$A:$A,$A26,Data!$C:$C,"OnlyGuider",Data!$B:$B,IF($F$2="All","*",$F$2))</f>
        <v/>
      </c>
      <c r="C29" s="11">
        <f>SUMIFS(Data!$E:$E,Data!$A:$A,$A26,Data!$C:$C,"OnlyGuider",Data!$B:$B,IF($F$2="All","*",$F$2))</f>
        <v/>
      </c>
      <c r="D29" s="15">
        <f>SUMIFS(Data!$F:$F,Data!$A:$A,$A26,Data!$C:$C,"OnlyGuider",Data!$B:$B,IF($F$2="All","*",$F$2))</f>
        <v/>
      </c>
      <c r="E29" s="12">
        <f>IFERROR(D29/C29,"")</f>
        <v/>
      </c>
      <c r="F29" s="12">
        <f>IFERROR(D29/B29,"")</f>
        <v/>
      </c>
      <c r="G29" s="14">
        <f>IFERROR(C29/B29,"")</f>
        <v/>
      </c>
      <c r="H29" s="15">
        <f>SUMIFS(Data!$G:$G,Data!$A:$A,$A26,Data!$C:$C,"OnlyGuider",Data!$B:$B,IF($F$2="All","*",$F$2))</f>
        <v/>
      </c>
      <c r="I29" s="12">
        <f>IFERROR(H29/C29,"")</f>
        <v/>
      </c>
      <c r="J29" s="16">
        <f>IFERROR(H29/D29,"")</f>
        <v/>
      </c>
      <c r="K29" s="12">
        <f>H29-D29</f>
        <v/>
      </c>
      <c r="L29" s="26" t="inlineStr"/>
    </row>
    <row r="30">
      <c r="A30" s="10" t="inlineStr">
        <is>
          <t xml:space="preserve">    OnlySeeker</t>
        </is>
      </c>
      <c r="B30" s="11">
        <f>SUMIFS(Data!$D:$D,Data!$A:$A,$A26,Data!$C:$C,"OnlySeeker",Data!$B:$B,IF($F$2="All","*",$F$2))</f>
        <v/>
      </c>
      <c r="C30" s="11">
        <f>SUMIFS(Data!$E:$E,Data!$A:$A,$A26,Data!$C:$C,"OnlySeeker",Data!$B:$B,IF($F$2="All","*",$F$2))</f>
        <v/>
      </c>
      <c r="D30" s="15">
        <f>SUMIFS(Data!$F:$F,Data!$A:$A,$A26,Data!$C:$C,"OnlySeeker",Data!$B:$B,IF($F$2="All","*",$F$2))</f>
        <v/>
      </c>
      <c r="E30" s="12">
        <f>IFERROR(D30/C30,"")</f>
        <v/>
      </c>
      <c r="F30" s="12">
        <f>IFERROR(D30/B30,"")</f>
        <v/>
      </c>
      <c r="G30" s="14">
        <f>IFERROR(C30/B30,"")</f>
        <v/>
      </c>
      <c r="H30" s="15">
        <f>SUMIFS(Data!$G:$G,Data!$A:$A,$A26,Data!$C:$C,"OnlySeeker",Data!$B:$B,IF($F$2="All","*",$F$2))</f>
        <v/>
      </c>
      <c r="I30" s="12">
        <f>IFERROR(H30/C30,"")</f>
        <v/>
      </c>
      <c r="J30" s="16">
        <f>IFERROR(H30/D30,"")</f>
        <v/>
      </c>
      <c r="K30" s="12">
        <f>H30-D30</f>
        <v/>
      </c>
      <c r="L30" s="26" t="inlineStr"/>
    </row>
    <row r="31">
      <c r="A31" s="10" t="inlineStr">
        <is>
          <t xml:space="preserve">    OnlyTraffic</t>
        </is>
      </c>
      <c r="B31" s="11">
        <f>SUMIFS(Data!$D:$D,Data!$A:$A,$A26,Data!$C:$C,"OnlyTraffic",Data!$B:$B,IF($F$2="All","*",$F$2))</f>
        <v/>
      </c>
      <c r="C31" s="11">
        <f>SUMIFS(Data!$E:$E,Data!$A:$A,$A26,Data!$C:$C,"OnlyTraffic",Data!$B:$B,IF($F$2="All","*",$F$2))</f>
        <v/>
      </c>
      <c r="D31" s="15">
        <f>SUMIFS(Data!$F:$F,Data!$A:$A,$A26,Data!$C:$C,"OnlyTraffic",Data!$B:$B,IF($F$2="All","*",$F$2))</f>
        <v/>
      </c>
      <c r="E31" s="12">
        <f>IFERROR(D31/C31,"")</f>
        <v/>
      </c>
      <c r="F31" s="12">
        <f>IFERROR(D31/B31,"")</f>
        <v/>
      </c>
      <c r="G31" s="14">
        <f>IFERROR(C31/B31,"")</f>
        <v/>
      </c>
      <c r="H31" s="15">
        <f>SUMIFS(Data!$G:$G,Data!$A:$A,$A26,Data!$C:$C,"OnlyTraffic",Data!$B:$B,IF($F$2="All","*",$F$2))</f>
        <v/>
      </c>
      <c r="I31" s="12">
        <f>IFERROR(H31/C31,"")</f>
        <v/>
      </c>
      <c r="J31" s="16">
        <f>IFERROR(H31/D31,"")</f>
        <v/>
      </c>
      <c r="K31" s="12">
        <f>H31-D31</f>
        <v/>
      </c>
      <c r="L31" s="26" t="inlineStr"/>
    </row>
    <row r="32">
      <c r="A32" s="20">
        <f>$B$2+3</f>
        <v/>
      </c>
      <c r="B32" s="21">
        <f>SUMIFS(Data!$D:$D,Data!$A:$A,$A32,Data!$B:$B,IF($F$2="All","*",$F$2))</f>
        <v/>
      </c>
      <c r="C32" s="21">
        <f>SUMIFS(Data!$E:$E,Data!$A:$A,$A32,Data!$B:$B,IF($F$2="All","*",$F$2))</f>
        <v/>
      </c>
      <c r="D32" s="22">
        <f>SUMIFS(Data!$F:$F,Data!$A:$A,$A32,Data!$B:$B,IF($F$2="All","*",$F$2))</f>
        <v/>
      </c>
      <c r="E32" s="22">
        <f>IFERROR(D32/C32,"")</f>
        <v/>
      </c>
      <c r="F32" s="22">
        <f>IFERROR(D32/B32,"")</f>
        <v/>
      </c>
      <c r="G32" s="23">
        <f>IFERROR(C32/B32,"")</f>
        <v/>
      </c>
      <c r="H32" s="22">
        <f>SUMIFS(Data!$G:$G,Data!$A:$A,$A32,Data!$B:$B,IF($F$2="All","*",$F$2))</f>
        <v/>
      </c>
      <c r="I32" s="22">
        <f>IFERROR(H32/C32,"")</f>
        <v/>
      </c>
      <c r="J32" s="24">
        <f>IFERROR(H32/D32,"")</f>
        <v/>
      </c>
      <c r="K32" s="22">
        <f>H32-D32</f>
        <v/>
      </c>
      <c r="L32" s="25" t="inlineStr"/>
    </row>
    <row r="33">
      <c r="A33" s="10" t="inlineStr">
        <is>
          <t xml:space="preserve">    Meta</t>
        </is>
      </c>
      <c r="B33" s="11">
        <f>SUMIFS(Data!$D:$D,Data!$A:$A,$A32,Data!$C:$C,"Meta",Data!$B:$B,IF($F$2="All","*",$F$2))</f>
        <v/>
      </c>
      <c r="C33" s="11">
        <f>SUMIFS(Data!$E:$E,Data!$A:$A,$A32,Data!$C:$C,"Meta",Data!$B:$B,IF($F$2="All","*",$F$2))</f>
        <v/>
      </c>
      <c r="D33" s="15">
        <f>SUMIFS(Data!$F:$F,Data!$A:$A,$A32,Data!$C:$C,"Meta",Data!$B:$B,IF($F$2="All","*",$F$2))</f>
        <v/>
      </c>
      <c r="E33" s="12">
        <f>IFERROR(D33/C33,"")</f>
        <v/>
      </c>
      <c r="F33" s="12">
        <f>IFERROR(D33/B33,"")</f>
        <v/>
      </c>
      <c r="G33" s="14">
        <f>IFERROR(C33/B33,"")</f>
        <v/>
      </c>
      <c r="H33" s="15">
        <f>SUMIFS(Data!$G:$G,Data!$A:$A,$A32,Data!$C:$C,"Meta",Data!$B:$B,IF($F$2="All","*",$F$2))</f>
        <v/>
      </c>
      <c r="I33" s="12">
        <f>IFERROR(H33/C33,"")</f>
        <v/>
      </c>
      <c r="J33" s="16">
        <f>IFERROR(H33/D33,"")</f>
        <v/>
      </c>
      <c r="K33" s="12">
        <f>H33-D33</f>
        <v/>
      </c>
      <c r="L33" s="26" t="inlineStr"/>
    </row>
    <row r="34">
      <c r="A34" s="10" t="inlineStr">
        <is>
          <t xml:space="preserve">    OnlyFinder</t>
        </is>
      </c>
      <c r="B34" s="11">
        <f>SUMIFS(Data!$D:$D,Data!$A:$A,$A32,Data!$C:$C,"OnlyFinder",Data!$B:$B,IF($F$2="All","*",$F$2))</f>
        <v/>
      </c>
      <c r="C34" s="11">
        <f>SUMIFS(Data!$E:$E,Data!$A:$A,$A32,Data!$C:$C,"OnlyFinder",Data!$B:$B,IF($F$2="All","*",$F$2))</f>
        <v/>
      </c>
      <c r="D34" s="15">
        <f>SUMIFS(Data!$F:$F,Data!$A:$A,$A32,Data!$C:$C,"OnlyFinder",Data!$B:$B,IF($F$2="All","*",$F$2))</f>
        <v/>
      </c>
      <c r="E34" s="12">
        <f>IFERROR(D34/C34,"")</f>
        <v/>
      </c>
      <c r="F34" s="12">
        <f>IFERROR(D34/B34,"")</f>
        <v/>
      </c>
      <c r="G34" s="14">
        <f>IFERROR(C34/B34,"")</f>
        <v/>
      </c>
      <c r="H34" s="15">
        <f>SUMIFS(Data!$G:$G,Data!$A:$A,$A32,Data!$C:$C,"OnlyFinder",Data!$B:$B,IF($F$2="All","*",$F$2))</f>
        <v/>
      </c>
      <c r="I34" s="12">
        <f>IFERROR(H34/C34,"")</f>
        <v/>
      </c>
      <c r="J34" s="16">
        <f>IFERROR(H34/D34,"")</f>
        <v/>
      </c>
      <c r="K34" s="12">
        <f>H34-D34</f>
        <v/>
      </c>
      <c r="L34" s="26" t="inlineStr"/>
    </row>
    <row r="35">
      <c r="A35" s="10" t="inlineStr">
        <is>
          <t xml:space="preserve">    OnlyGuider</t>
        </is>
      </c>
      <c r="B35" s="11">
        <f>SUMIFS(Data!$D:$D,Data!$A:$A,$A32,Data!$C:$C,"OnlyGuider",Data!$B:$B,IF($F$2="All","*",$F$2))</f>
        <v/>
      </c>
      <c r="C35" s="11">
        <f>SUMIFS(Data!$E:$E,Data!$A:$A,$A32,Data!$C:$C,"OnlyGuider",Data!$B:$B,IF($F$2="All","*",$F$2))</f>
        <v/>
      </c>
      <c r="D35" s="15">
        <f>SUMIFS(Data!$F:$F,Data!$A:$A,$A32,Data!$C:$C,"OnlyGuider",Data!$B:$B,IF($F$2="All","*",$F$2))</f>
        <v/>
      </c>
      <c r="E35" s="12">
        <f>IFERROR(D35/C35,"")</f>
        <v/>
      </c>
      <c r="F35" s="12">
        <f>IFERROR(D35/B35,"")</f>
        <v/>
      </c>
      <c r="G35" s="14">
        <f>IFERROR(C35/B35,"")</f>
        <v/>
      </c>
      <c r="H35" s="15">
        <f>SUMIFS(Data!$G:$G,Data!$A:$A,$A32,Data!$C:$C,"OnlyGuider",Data!$B:$B,IF($F$2="All","*",$F$2))</f>
        <v/>
      </c>
      <c r="I35" s="12">
        <f>IFERROR(H35/C35,"")</f>
        <v/>
      </c>
      <c r="J35" s="16">
        <f>IFERROR(H35/D35,"")</f>
        <v/>
      </c>
      <c r="K35" s="12">
        <f>H35-D35</f>
        <v/>
      </c>
      <c r="L35" s="26" t="inlineStr"/>
    </row>
    <row r="36">
      <c r="A36" s="10" t="inlineStr">
        <is>
          <t xml:space="preserve">    OnlySeeker</t>
        </is>
      </c>
      <c r="B36" s="11">
        <f>SUMIFS(Data!$D:$D,Data!$A:$A,$A32,Data!$C:$C,"OnlySeeker",Data!$B:$B,IF($F$2="All","*",$F$2))</f>
        <v/>
      </c>
      <c r="C36" s="11">
        <f>SUMIFS(Data!$E:$E,Data!$A:$A,$A32,Data!$C:$C,"OnlySeeker",Data!$B:$B,IF($F$2="All","*",$F$2))</f>
        <v/>
      </c>
      <c r="D36" s="15">
        <f>SUMIFS(Data!$F:$F,Data!$A:$A,$A32,Data!$C:$C,"OnlySeeker",Data!$B:$B,IF($F$2="All","*",$F$2))</f>
        <v/>
      </c>
      <c r="E36" s="12">
        <f>IFERROR(D36/C36,"")</f>
        <v/>
      </c>
      <c r="F36" s="12">
        <f>IFERROR(D36/B36,"")</f>
        <v/>
      </c>
      <c r="G36" s="14">
        <f>IFERROR(C36/B36,"")</f>
        <v/>
      </c>
      <c r="H36" s="15">
        <f>SUMIFS(Data!$G:$G,Data!$A:$A,$A32,Data!$C:$C,"OnlySeeker",Data!$B:$B,IF($F$2="All","*",$F$2))</f>
        <v/>
      </c>
      <c r="I36" s="12">
        <f>IFERROR(H36/C36,"")</f>
        <v/>
      </c>
      <c r="J36" s="16">
        <f>IFERROR(H36/D36,"")</f>
        <v/>
      </c>
      <c r="K36" s="12">
        <f>H36-D36</f>
        <v/>
      </c>
      <c r="L36" s="26" t="inlineStr"/>
    </row>
    <row r="37">
      <c r="A37" s="10" t="inlineStr">
        <is>
          <t xml:space="preserve">    OnlyTraffic</t>
        </is>
      </c>
      <c r="B37" s="11">
        <f>SUMIFS(Data!$D:$D,Data!$A:$A,$A32,Data!$C:$C,"OnlyTraffic",Data!$B:$B,IF($F$2="All","*",$F$2))</f>
        <v/>
      </c>
      <c r="C37" s="11">
        <f>SUMIFS(Data!$E:$E,Data!$A:$A,$A32,Data!$C:$C,"OnlyTraffic",Data!$B:$B,IF($F$2="All","*",$F$2))</f>
        <v/>
      </c>
      <c r="D37" s="15">
        <f>SUMIFS(Data!$F:$F,Data!$A:$A,$A32,Data!$C:$C,"OnlyTraffic",Data!$B:$B,IF($F$2="All","*",$F$2))</f>
        <v/>
      </c>
      <c r="E37" s="12">
        <f>IFERROR(D37/C37,"")</f>
        <v/>
      </c>
      <c r="F37" s="12">
        <f>IFERROR(D37/B37,"")</f>
        <v/>
      </c>
      <c r="G37" s="14">
        <f>IFERROR(C37/B37,"")</f>
        <v/>
      </c>
      <c r="H37" s="15">
        <f>SUMIFS(Data!$G:$G,Data!$A:$A,$A32,Data!$C:$C,"OnlyTraffic",Data!$B:$B,IF($F$2="All","*",$F$2))</f>
        <v/>
      </c>
      <c r="I37" s="12">
        <f>IFERROR(H37/C37,"")</f>
        <v/>
      </c>
      <c r="J37" s="16">
        <f>IFERROR(H37/D37,"")</f>
        <v/>
      </c>
      <c r="K37" s="12">
        <f>H37-D37</f>
        <v/>
      </c>
      <c r="L37" s="26" t="inlineStr"/>
    </row>
    <row r="38">
      <c r="A38" s="20">
        <f>$B$2+4</f>
        <v/>
      </c>
      <c r="B38" s="21">
        <f>SUMIFS(Data!$D:$D,Data!$A:$A,$A38,Data!$B:$B,IF($F$2="All","*",$F$2))</f>
        <v/>
      </c>
      <c r="C38" s="21">
        <f>SUMIFS(Data!$E:$E,Data!$A:$A,$A38,Data!$B:$B,IF($F$2="All","*",$F$2))</f>
        <v/>
      </c>
      <c r="D38" s="22">
        <f>SUMIFS(Data!$F:$F,Data!$A:$A,$A38,Data!$B:$B,IF($F$2="All","*",$F$2))</f>
        <v/>
      </c>
      <c r="E38" s="22">
        <f>IFERROR(D38/C38,"")</f>
        <v/>
      </c>
      <c r="F38" s="22">
        <f>IFERROR(D38/B38,"")</f>
        <v/>
      </c>
      <c r="G38" s="23">
        <f>IFERROR(C38/B38,"")</f>
        <v/>
      </c>
      <c r="H38" s="22">
        <f>SUMIFS(Data!$G:$G,Data!$A:$A,$A38,Data!$B:$B,IF($F$2="All","*",$F$2))</f>
        <v/>
      </c>
      <c r="I38" s="22">
        <f>IFERROR(H38/C38,"")</f>
        <v/>
      </c>
      <c r="J38" s="24">
        <f>IFERROR(H38/D38,"")</f>
        <v/>
      </c>
      <c r="K38" s="22">
        <f>H38-D38</f>
        <v/>
      </c>
      <c r="L38" s="25" t="inlineStr"/>
    </row>
    <row r="39">
      <c r="A39" s="10" t="inlineStr">
        <is>
          <t xml:space="preserve">    Meta</t>
        </is>
      </c>
      <c r="B39" s="11">
        <f>SUMIFS(Data!$D:$D,Data!$A:$A,$A38,Data!$C:$C,"Meta",Data!$B:$B,IF($F$2="All","*",$F$2))</f>
        <v/>
      </c>
      <c r="C39" s="11">
        <f>SUMIFS(Data!$E:$E,Data!$A:$A,$A38,Data!$C:$C,"Meta",Data!$B:$B,IF($F$2="All","*",$F$2))</f>
        <v/>
      </c>
      <c r="D39" s="15">
        <f>SUMIFS(Data!$F:$F,Data!$A:$A,$A38,Data!$C:$C,"Meta",Data!$B:$B,IF($F$2="All","*",$F$2))</f>
        <v/>
      </c>
      <c r="E39" s="12">
        <f>IFERROR(D39/C39,"")</f>
        <v/>
      </c>
      <c r="F39" s="12">
        <f>IFERROR(D39/B39,"")</f>
        <v/>
      </c>
      <c r="G39" s="14">
        <f>IFERROR(C39/B39,"")</f>
        <v/>
      </c>
      <c r="H39" s="15">
        <f>SUMIFS(Data!$G:$G,Data!$A:$A,$A38,Data!$C:$C,"Meta",Data!$B:$B,IF($F$2="All","*",$F$2))</f>
        <v/>
      </c>
      <c r="I39" s="12">
        <f>IFERROR(H39/C39,"")</f>
        <v/>
      </c>
      <c r="J39" s="16">
        <f>IFERROR(H39/D39,"")</f>
        <v/>
      </c>
      <c r="K39" s="12">
        <f>H39-D39</f>
        <v/>
      </c>
      <c r="L39" s="26" t="inlineStr"/>
    </row>
    <row r="40">
      <c r="A40" s="10" t="inlineStr">
        <is>
          <t xml:space="preserve">    OnlyFinder</t>
        </is>
      </c>
      <c r="B40" s="11">
        <f>SUMIFS(Data!$D:$D,Data!$A:$A,$A38,Data!$C:$C,"OnlyFinder",Data!$B:$B,IF($F$2="All","*",$F$2))</f>
        <v/>
      </c>
      <c r="C40" s="11">
        <f>SUMIFS(Data!$E:$E,Data!$A:$A,$A38,Data!$C:$C,"OnlyFinder",Data!$B:$B,IF($F$2="All","*",$F$2))</f>
        <v/>
      </c>
      <c r="D40" s="15">
        <f>SUMIFS(Data!$F:$F,Data!$A:$A,$A38,Data!$C:$C,"OnlyFinder",Data!$B:$B,IF($F$2="All","*",$F$2))</f>
        <v/>
      </c>
      <c r="E40" s="12">
        <f>IFERROR(D40/C40,"")</f>
        <v/>
      </c>
      <c r="F40" s="12">
        <f>IFERROR(D40/B40,"")</f>
        <v/>
      </c>
      <c r="G40" s="14">
        <f>IFERROR(C40/B40,"")</f>
        <v/>
      </c>
      <c r="H40" s="15">
        <f>SUMIFS(Data!$G:$G,Data!$A:$A,$A38,Data!$C:$C,"OnlyFinder",Data!$B:$B,IF($F$2="All","*",$F$2))</f>
        <v/>
      </c>
      <c r="I40" s="12">
        <f>IFERROR(H40/C40,"")</f>
        <v/>
      </c>
      <c r="J40" s="16">
        <f>IFERROR(H40/D40,"")</f>
        <v/>
      </c>
      <c r="K40" s="12">
        <f>H40-D40</f>
        <v/>
      </c>
      <c r="L40" s="26" t="inlineStr"/>
    </row>
    <row r="41">
      <c r="A41" s="10" t="inlineStr">
        <is>
          <t xml:space="preserve">    OnlyGuider</t>
        </is>
      </c>
      <c r="B41" s="11">
        <f>SUMIFS(Data!$D:$D,Data!$A:$A,$A38,Data!$C:$C,"OnlyGuider",Data!$B:$B,IF($F$2="All","*",$F$2))</f>
        <v/>
      </c>
      <c r="C41" s="11">
        <f>SUMIFS(Data!$E:$E,Data!$A:$A,$A38,Data!$C:$C,"OnlyGuider",Data!$B:$B,IF($F$2="All","*",$F$2))</f>
        <v/>
      </c>
      <c r="D41" s="15">
        <f>SUMIFS(Data!$F:$F,Data!$A:$A,$A38,Data!$C:$C,"OnlyGuider",Data!$B:$B,IF($F$2="All","*",$F$2))</f>
        <v/>
      </c>
      <c r="E41" s="12">
        <f>IFERROR(D41/C41,"")</f>
        <v/>
      </c>
      <c r="F41" s="12">
        <f>IFERROR(D41/B41,"")</f>
        <v/>
      </c>
      <c r="G41" s="14">
        <f>IFERROR(C41/B41,"")</f>
        <v/>
      </c>
      <c r="H41" s="15">
        <f>SUMIFS(Data!$G:$G,Data!$A:$A,$A38,Data!$C:$C,"OnlyGuider",Data!$B:$B,IF($F$2="All","*",$F$2))</f>
        <v/>
      </c>
      <c r="I41" s="12">
        <f>IFERROR(H41/C41,"")</f>
        <v/>
      </c>
      <c r="J41" s="16">
        <f>IFERROR(H41/D41,"")</f>
        <v/>
      </c>
      <c r="K41" s="12">
        <f>H41-D41</f>
        <v/>
      </c>
      <c r="L41" s="26" t="inlineStr"/>
    </row>
    <row r="42">
      <c r="A42" s="10" t="inlineStr">
        <is>
          <t xml:space="preserve">    OnlySeeker</t>
        </is>
      </c>
      <c r="B42" s="11">
        <f>SUMIFS(Data!$D:$D,Data!$A:$A,$A38,Data!$C:$C,"OnlySeeker",Data!$B:$B,IF($F$2="All","*",$F$2))</f>
        <v/>
      </c>
      <c r="C42" s="11">
        <f>SUMIFS(Data!$E:$E,Data!$A:$A,$A38,Data!$C:$C,"OnlySeeker",Data!$B:$B,IF($F$2="All","*",$F$2))</f>
        <v/>
      </c>
      <c r="D42" s="15">
        <f>SUMIFS(Data!$F:$F,Data!$A:$A,$A38,Data!$C:$C,"OnlySeeker",Data!$B:$B,IF($F$2="All","*",$F$2))</f>
        <v/>
      </c>
      <c r="E42" s="12">
        <f>IFERROR(D42/C42,"")</f>
        <v/>
      </c>
      <c r="F42" s="12">
        <f>IFERROR(D42/B42,"")</f>
        <v/>
      </c>
      <c r="G42" s="14">
        <f>IFERROR(C42/B42,"")</f>
        <v/>
      </c>
      <c r="H42" s="15">
        <f>SUMIFS(Data!$G:$G,Data!$A:$A,$A38,Data!$C:$C,"OnlySeeker",Data!$B:$B,IF($F$2="All","*",$F$2))</f>
        <v/>
      </c>
      <c r="I42" s="12">
        <f>IFERROR(H42/C42,"")</f>
        <v/>
      </c>
      <c r="J42" s="16">
        <f>IFERROR(H42/D42,"")</f>
        <v/>
      </c>
      <c r="K42" s="12">
        <f>H42-D42</f>
        <v/>
      </c>
      <c r="L42" s="26" t="inlineStr"/>
    </row>
    <row r="43">
      <c r="A43" s="10" t="inlineStr">
        <is>
          <t xml:space="preserve">    OnlyTraffic</t>
        </is>
      </c>
      <c r="B43" s="11">
        <f>SUMIFS(Data!$D:$D,Data!$A:$A,$A38,Data!$C:$C,"OnlyTraffic",Data!$B:$B,IF($F$2="All","*",$F$2))</f>
        <v/>
      </c>
      <c r="C43" s="11">
        <f>SUMIFS(Data!$E:$E,Data!$A:$A,$A38,Data!$C:$C,"OnlyTraffic",Data!$B:$B,IF($F$2="All","*",$F$2))</f>
        <v/>
      </c>
      <c r="D43" s="15">
        <f>SUMIFS(Data!$F:$F,Data!$A:$A,$A38,Data!$C:$C,"OnlyTraffic",Data!$B:$B,IF($F$2="All","*",$F$2))</f>
        <v/>
      </c>
      <c r="E43" s="12">
        <f>IFERROR(D43/C43,"")</f>
        <v/>
      </c>
      <c r="F43" s="12">
        <f>IFERROR(D43/B43,"")</f>
        <v/>
      </c>
      <c r="G43" s="14">
        <f>IFERROR(C43/B43,"")</f>
        <v/>
      </c>
      <c r="H43" s="15">
        <f>SUMIFS(Data!$G:$G,Data!$A:$A,$A38,Data!$C:$C,"OnlyTraffic",Data!$B:$B,IF($F$2="All","*",$F$2))</f>
        <v/>
      </c>
      <c r="I43" s="12">
        <f>IFERROR(H43/C43,"")</f>
        <v/>
      </c>
      <c r="J43" s="16">
        <f>IFERROR(H43/D43,"")</f>
        <v/>
      </c>
      <c r="K43" s="12">
        <f>H43-D43</f>
        <v/>
      </c>
      <c r="L43" s="26" t="inlineStr"/>
    </row>
    <row r="44">
      <c r="A44" s="20">
        <f>$B$2+5</f>
        <v/>
      </c>
      <c r="B44" s="21">
        <f>SUMIFS(Data!$D:$D,Data!$A:$A,$A44,Data!$B:$B,IF($F$2="All","*",$F$2))</f>
        <v/>
      </c>
      <c r="C44" s="21">
        <f>SUMIFS(Data!$E:$E,Data!$A:$A,$A44,Data!$B:$B,IF($F$2="All","*",$F$2))</f>
        <v/>
      </c>
      <c r="D44" s="22">
        <f>SUMIFS(Data!$F:$F,Data!$A:$A,$A44,Data!$B:$B,IF($F$2="All","*",$F$2))</f>
        <v/>
      </c>
      <c r="E44" s="22">
        <f>IFERROR(D44/C44,"")</f>
        <v/>
      </c>
      <c r="F44" s="22">
        <f>IFERROR(D44/B44,"")</f>
        <v/>
      </c>
      <c r="G44" s="23">
        <f>IFERROR(C44/B44,"")</f>
        <v/>
      </c>
      <c r="H44" s="22">
        <f>SUMIFS(Data!$G:$G,Data!$A:$A,$A44,Data!$B:$B,IF($F$2="All","*",$F$2))</f>
        <v/>
      </c>
      <c r="I44" s="22">
        <f>IFERROR(H44/C44,"")</f>
        <v/>
      </c>
      <c r="J44" s="24">
        <f>IFERROR(H44/D44,"")</f>
        <v/>
      </c>
      <c r="K44" s="22">
        <f>H44-D44</f>
        <v/>
      </c>
      <c r="L44" s="25" t="inlineStr"/>
    </row>
    <row r="45">
      <c r="A45" s="10" t="inlineStr">
        <is>
          <t xml:space="preserve">    Meta</t>
        </is>
      </c>
      <c r="B45" s="11">
        <f>SUMIFS(Data!$D:$D,Data!$A:$A,$A44,Data!$C:$C,"Meta",Data!$B:$B,IF($F$2="All","*",$F$2))</f>
        <v/>
      </c>
      <c r="C45" s="11">
        <f>SUMIFS(Data!$E:$E,Data!$A:$A,$A44,Data!$C:$C,"Meta",Data!$B:$B,IF($F$2="All","*",$F$2))</f>
        <v/>
      </c>
      <c r="D45" s="15">
        <f>SUMIFS(Data!$F:$F,Data!$A:$A,$A44,Data!$C:$C,"Meta",Data!$B:$B,IF($F$2="All","*",$F$2))</f>
        <v/>
      </c>
      <c r="E45" s="12">
        <f>IFERROR(D45/C45,"")</f>
        <v/>
      </c>
      <c r="F45" s="12">
        <f>IFERROR(D45/B45,"")</f>
        <v/>
      </c>
      <c r="G45" s="14">
        <f>IFERROR(C45/B45,"")</f>
        <v/>
      </c>
      <c r="H45" s="15">
        <f>SUMIFS(Data!$G:$G,Data!$A:$A,$A44,Data!$C:$C,"Meta",Data!$B:$B,IF($F$2="All","*",$F$2))</f>
        <v/>
      </c>
      <c r="I45" s="12">
        <f>IFERROR(H45/C45,"")</f>
        <v/>
      </c>
      <c r="J45" s="16">
        <f>IFERROR(H45/D45,"")</f>
        <v/>
      </c>
      <c r="K45" s="12">
        <f>H45-D45</f>
        <v/>
      </c>
      <c r="L45" s="26" t="inlineStr"/>
    </row>
    <row r="46">
      <c r="A46" s="10" t="inlineStr">
        <is>
          <t xml:space="preserve">    OnlyFinder</t>
        </is>
      </c>
      <c r="B46" s="11">
        <f>SUMIFS(Data!$D:$D,Data!$A:$A,$A44,Data!$C:$C,"OnlyFinder",Data!$B:$B,IF($F$2="All","*",$F$2))</f>
        <v/>
      </c>
      <c r="C46" s="11">
        <f>SUMIFS(Data!$E:$E,Data!$A:$A,$A44,Data!$C:$C,"OnlyFinder",Data!$B:$B,IF($F$2="All","*",$F$2))</f>
        <v/>
      </c>
      <c r="D46" s="15">
        <f>SUMIFS(Data!$F:$F,Data!$A:$A,$A44,Data!$C:$C,"OnlyFinder",Data!$B:$B,IF($F$2="All","*",$F$2))</f>
        <v/>
      </c>
      <c r="E46" s="12">
        <f>IFERROR(D46/C46,"")</f>
        <v/>
      </c>
      <c r="F46" s="12">
        <f>IFERROR(D46/B46,"")</f>
        <v/>
      </c>
      <c r="G46" s="14">
        <f>IFERROR(C46/B46,"")</f>
        <v/>
      </c>
      <c r="H46" s="15">
        <f>SUMIFS(Data!$G:$G,Data!$A:$A,$A44,Data!$C:$C,"OnlyFinder",Data!$B:$B,IF($F$2="All","*",$F$2))</f>
        <v/>
      </c>
      <c r="I46" s="12">
        <f>IFERROR(H46/C46,"")</f>
        <v/>
      </c>
      <c r="J46" s="16">
        <f>IFERROR(H46/D46,"")</f>
        <v/>
      </c>
      <c r="K46" s="12">
        <f>H46-D46</f>
        <v/>
      </c>
      <c r="L46" s="26" t="inlineStr"/>
    </row>
    <row r="47">
      <c r="A47" s="10" t="inlineStr">
        <is>
          <t xml:space="preserve">    OnlyGuider</t>
        </is>
      </c>
      <c r="B47" s="11">
        <f>SUMIFS(Data!$D:$D,Data!$A:$A,$A44,Data!$C:$C,"OnlyGuider",Data!$B:$B,IF($F$2="All","*",$F$2))</f>
        <v/>
      </c>
      <c r="C47" s="11">
        <f>SUMIFS(Data!$E:$E,Data!$A:$A,$A44,Data!$C:$C,"OnlyGuider",Data!$B:$B,IF($F$2="All","*",$F$2))</f>
        <v/>
      </c>
      <c r="D47" s="15">
        <f>SUMIFS(Data!$F:$F,Data!$A:$A,$A44,Data!$C:$C,"OnlyGuider",Data!$B:$B,IF($F$2="All","*",$F$2))</f>
        <v/>
      </c>
      <c r="E47" s="12">
        <f>IFERROR(D47/C47,"")</f>
        <v/>
      </c>
      <c r="F47" s="12">
        <f>IFERROR(D47/B47,"")</f>
        <v/>
      </c>
      <c r="G47" s="14">
        <f>IFERROR(C47/B47,"")</f>
        <v/>
      </c>
      <c r="H47" s="15">
        <f>SUMIFS(Data!$G:$G,Data!$A:$A,$A44,Data!$C:$C,"OnlyGuider",Data!$B:$B,IF($F$2="All","*",$F$2))</f>
        <v/>
      </c>
      <c r="I47" s="12">
        <f>IFERROR(H47/C47,"")</f>
        <v/>
      </c>
      <c r="J47" s="16">
        <f>IFERROR(H47/D47,"")</f>
        <v/>
      </c>
      <c r="K47" s="12">
        <f>H47-D47</f>
        <v/>
      </c>
      <c r="L47" s="26" t="inlineStr"/>
    </row>
    <row r="48">
      <c r="A48" s="10" t="inlineStr">
        <is>
          <t xml:space="preserve">    OnlySeeker</t>
        </is>
      </c>
      <c r="B48" s="11">
        <f>SUMIFS(Data!$D:$D,Data!$A:$A,$A44,Data!$C:$C,"OnlySeeker",Data!$B:$B,IF($F$2="All","*",$F$2))</f>
        <v/>
      </c>
      <c r="C48" s="11">
        <f>SUMIFS(Data!$E:$E,Data!$A:$A,$A44,Data!$C:$C,"OnlySeeker",Data!$B:$B,IF($F$2="All","*",$F$2))</f>
        <v/>
      </c>
      <c r="D48" s="15">
        <f>SUMIFS(Data!$F:$F,Data!$A:$A,$A44,Data!$C:$C,"OnlySeeker",Data!$B:$B,IF($F$2="All","*",$F$2))</f>
        <v/>
      </c>
      <c r="E48" s="12">
        <f>IFERROR(D48/C48,"")</f>
        <v/>
      </c>
      <c r="F48" s="12">
        <f>IFERROR(D48/B48,"")</f>
        <v/>
      </c>
      <c r="G48" s="14">
        <f>IFERROR(C48/B48,"")</f>
        <v/>
      </c>
      <c r="H48" s="15">
        <f>SUMIFS(Data!$G:$G,Data!$A:$A,$A44,Data!$C:$C,"OnlySeeker",Data!$B:$B,IF($F$2="All","*",$F$2))</f>
        <v/>
      </c>
      <c r="I48" s="12">
        <f>IFERROR(H48/C48,"")</f>
        <v/>
      </c>
      <c r="J48" s="16">
        <f>IFERROR(H48/D48,"")</f>
        <v/>
      </c>
      <c r="K48" s="12">
        <f>H48-D48</f>
        <v/>
      </c>
      <c r="L48" s="26" t="inlineStr"/>
    </row>
    <row r="49">
      <c r="A49" s="10" t="inlineStr">
        <is>
          <t xml:space="preserve">    OnlyTraffic</t>
        </is>
      </c>
      <c r="B49" s="11">
        <f>SUMIFS(Data!$D:$D,Data!$A:$A,$A44,Data!$C:$C,"OnlyTraffic",Data!$B:$B,IF($F$2="All","*",$F$2))</f>
        <v/>
      </c>
      <c r="C49" s="11">
        <f>SUMIFS(Data!$E:$E,Data!$A:$A,$A44,Data!$C:$C,"OnlyTraffic",Data!$B:$B,IF($F$2="All","*",$F$2))</f>
        <v/>
      </c>
      <c r="D49" s="15">
        <f>SUMIFS(Data!$F:$F,Data!$A:$A,$A44,Data!$C:$C,"OnlyTraffic",Data!$B:$B,IF($F$2="All","*",$F$2))</f>
        <v/>
      </c>
      <c r="E49" s="12">
        <f>IFERROR(D49/C49,"")</f>
        <v/>
      </c>
      <c r="F49" s="12">
        <f>IFERROR(D49/B49,"")</f>
        <v/>
      </c>
      <c r="G49" s="14">
        <f>IFERROR(C49/B49,"")</f>
        <v/>
      </c>
      <c r="H49" s="15">
        <f>SUMIFS(Data!$G:$G,Data!$A:$A,$A44,Data!$C:$C,"OnlyTraffic",Data!$B:$B,IF($F$2="All","*",$F$2))</f>
        <v/>
      </c>
      <c r="I49" s="12">
        <f>IFERROR(H49/C49,"")</f>
        <v/>
      </c>
      <c r="J49" s="16">
        <f>IFERROR(H49/D49,"")</f>
        <v/>
      </c>
      <c r="K49" s="12">
        <f>H49-D49</f>
        <v/>
      </c>
      <c r="L49" s="26" t="inlineStr"/>
    </row>
    <row r="50">
      <c r="A50" s="20">
        <f>$B$2+6</f>
        <v/>
      </c>
      <c r="B50" s="21">
        <f>SUMIFS(Data!$D:$D,Data!$A:$A,$A50,Data!$B:$B,IF($F$2="All","*",$F$2))</f>
        <v/>
      </c>
      <c r="C50" s="21">
        <f>SUMIFS(Data!$E:$E,Data!$A:$A,$A50,Data!$B:$B,IF($F$2="All","*",$F$2))</f>
        <v/>
      </c>
      <c r="D50" s="22">
        <f>SUMIFS(Data!$F:$F,Data!$A:$A,$A50,Data!$B:$B,IF($F$2="All","*",$F$2))</f>
        <v/>
      </c>
      <c r="E50" s="22">
        <f>IFERROR(D50/C50,"")</f>
        <v/>
      </c>
      <c r="F50" s="22">
        <f>IFERROR(D50/B50,"")</f>
        <v/>
      </c>
      <c r="G50" s="23">
        <f>IFERROR(C50/B50,"")</f>
        <v/>
      </c>
      <c r="H50" s="22">
        <f>SUMIFS(Data!$G:$G,Data!$A:$A,$A50,Data!$B:$B,IF($F$2="All","*",$F$2))</f>
        <v/>
      </c>
      <c r="I50" s="22">
        <f>IFERROR(H50/C50,"")</f>
        <v/>
      </c>
      <c r="J50" s="24">
        <f>IFERROR(H50/D50,"")</f>
        <v/>
      </c>
      <c r="K50" s="22">
        <f>H50-D50</f>
        <v/>
      </c>
      <c r="L50" s="25" t="inlineStr"/>
    </row>
    <row r="51">
      <c r="A51" s="10" t="inlineStr">
        <is>
          <t xml:space="preserve">    Meta</t>
        </is>
      </c>
      <c r="B51" s="11">
        <f>SUMIFS(Data!$D:$D,Data!$A:$A,$A50,Data!$C:$C,"Meta",Data!$B:$B,IF($F$2="All","*",$F$2))</f>
        <v/>
      </c>
      <c r="C51" s="11">
        <f>SUMIFS(Data!$E:$E,Data!$A:$A,$A50,Data!$C:$C,"Meta",Data!$B:$B,IF($F$2="All","*",$F$2))</f>
        <v/>
      </c>
      <c r="D51" s="15">
        <f>SUMIFS(Data!$F:$F,Data!$A:$A,$A50,Data!$C:$C,"Meta",Data!$B:$B,IF($F$2="All","*",$F$2))</f>
        <v/>
      </c>
      <c r="E51" s="12">
        <f>IFERROR(D51/C51,"")</f>
        <v/>
      </c>
      <c r="F51" s="12">
        <f>IFERROR(D51/B51,"")</f>
        <v/>
      </c>
      <c r="G51" s="14">
        <f>IFERROR(C51/B51,"")</f>
        <v/>
      </c>
      <c r="H51" s="15">
        <f>SUMIFS(Data!$G:$G,Data!$A:$A,$A50,Data!$C:$C,"Meta",Data!$B:$B,IF($F$2="All","*",$F$2))</f>
        <v/>
      </c>
      <c r="I51" s="12">
        <f>IFERROR(H51/C51,"")</f>
        <v/>
      </c>
      <c r="J51" s="16">
        <f>IFERROR(H51/D51,"")</f>
        <v/>
      </c>
      <c r="K51" s="12">
        <f>H51-D51</f>
        <v/>
      </c>
      <c r="L51" s="26" t="inlineStr"/>
    </row>
    <row r="52">
      <c r="A52" s="10" t="inlineStr">
        <is>
          <t xml:space="preserve">    OnlyFinder</t>
        </is>
      </c>
      <c r="B52" s="11">
        <f>SUMIFS(Data!$D:$D,Data!$A:$A,$A50,Data!$C:$C,"OnlyFinder",Data!$B:$B,IF($F$2="All","*",$F$2))</f>
        <v/>
      </c>
      <c r="C52" s="11">
        <f>SUMIFS(Data!$E:$E,Data!$A:$A,$A50,Data!$C:$C,"OnlyFinder",Data!$B:$B,IF($F$2="All","*",$F$2))</f>
        <v/>
      </c>
      <c r="D52" s="15">
        <f>SUMIFS(Data!$F:$F,Data!$A:$A,$A50,Data!$C:$C,"OnlyFinder",Data!$B:$B,IF($F$2="All","*",$F$2))</f>
        <v/>
      </c>
      <c r="E52" s="12">
        <f>IFERROR(D52/C52,"")</f>
        <v/>
      </c>
      <c r="F52" s="12">
        <f>IFERROR(D52/B52,"")</f>
        <v/>
      </c>
      <c r="G52" s="14">
        <f>IFERROR(C52/B52,"")</f>
        <v/>
      </c>
      <c r="H52" s="15">
        <f>SUMIFS(Data!$G:$G,Data!$A:$A,$A50,Data!$C:$C,"OnlyFinder",Data!$B:$B,IF($F$2="All","*",$F$2))</f>
        <v/>
      </c>
      <c r="I52" s="12">
        <f>IFERROR(H52/C52,"")</f>
        <v/>
      </c>
      <c r="J52" s="16">
        <f>IFERROR(H52/D52,"")</f>
        <v/>
      </c>
      <c r="K52" s="12">
        <f>H52-D52</f>
        <v/>
      </c>
      <c r="L52" s="26" t="inlineStr"/>
    </row>
    <row r="53">
      <c r="A53" s="10" t="inlineStr">
        <is>
          <t xml:space="preserve">    OnlyGuider</t>
        </is>
      </c>
      <c r="B53" s="11">
        <f>SUMIFS(Data!$D:$D,Data!$A:$A,$A50,Data!$C:$C,"OnlyGuider",Data!$B:$B,IF($F$2="All","*",$F$2))</f>
        <v/>
      </c>
      <c r="C53" s="11">
        <f>SUMIFS(Data!$E:$E,Data!$A:$A,$A50,Data!$C:$C,"OnlyGuider",Data!$B:$B,IF($F$2="All","*",$F$2))</f>
        <v/>
      </c>
      <c r="D53" s="15">
        <f>SUMIFS(Data!$F:$F,Data!$A:$A,$A50,Data!$C:$C,"OnlyGuider",Data!$B:$B,IF($F$2="All","*",$F$2))</f>
        <v/>
      </c>
      <c r="E53" s="12">
        <f>IFERROR(D53/C53,"")</f>
        <v/>
      </c>
      <c r="F53" s="12">
        <f>IFERROR(D53/B53,"")</f>
        <v/>
      </c>
      <c r="G53" s="14">
        <f>IFERROR(C53/B53,"")</f>
        <v/>
      </c>
      <c r="H53" s="15">
        <f>SUMIFS(Data!$G:$G,Data!$A:$A,$A50,Data!$C:$C,"OnlyGuider",Data!$B:$B,IF($F$2="All","*",$F$2))</f>
        <v/>
      </c>
      <c r="I53" s="12">
        <f>IFERROR(H53/C53,"")</f>
        <v/>
      </c>
      <c r="J53" s="16">
        <f>IFERROR(H53/D53,"")</f>
        <v/>
      </c>
      <c r="K53" s="12">
        <f>H53-D53</f>
        <v/>
      </c>
      <c r="L53" s="26" t="inlineStr"/>
    </row>
    <row r="54">
      <c r="A54" s="10" t="inlineStr">
        <is>
          <t xml:space="preserve">    OnlySeeker</t>
        </is>
      </c>
      <c r="B54" s="11">
        <f>SUMIFS(Data!$D:$D,Data!$A:$A,$A50,Data!$C:$C,"OnlySeeker",Data!$B:$B,IF($F$2="All","*",$F$2))</f>
        <v/>
      </c>
      <c r="C54" s="11">
        <f>SUMIFS(Data!$E:$E,Data!$A:$A,$A50,Data!$C:$C,"OnlySeeker",Data!$B:$B,IF($F$2="All","*",$F$2))</f>
        <v/>
      </c>
      <c r="D54" s="15">
        <f>SUMIFS(Data!$F:$F,Data!$A:$A,$A50,Data!$C:$C,"OnlySeeker",Data!$B:$B,IF($F$2="All","*",$F$2))</f>
        <v/>
      </c>
      <c r="E54" s="12">
        <f>IFERROR(D54/C54,"")</f>
        <v/>
      </c>
      <c r="F54" s="12">
        <f>IFERROR(D54/B54,"")</f>
        <v/>
      </c>
      <c r="G54" s="14">
        <f>IFERROR(C54/B54,"")</f>
        <v/>
      </c>
      <c r="H54" s="15">
        <f>SUMIFS(Data!$G:$G,Data!$A:$A,$A50,Data!$C:$C,"OnlySeeker",Data!$B:$B,IF($F$2="All","*",$F$2))</f>
        <v/>
      </c>
      <c r="I54" s="12">
        <f>IFERROR(H54/C54,"")</f>
        <v/>
      </c>
      <c r="J54" s="16">
        <f>IFERROR(H54/D54,"")</f>
        <v/>
      </c>
      <c r="K54" s="12">
        <f>H54-D54</f>
        <v/>
      </c>
      <c r="L54" s="26" t="inlineStr"/>
    </row>
    <row r="55">
      <c r="A55" s="10" t="inlineStr">
        <is>
          <t xml:space="preserve">    OnlyTraffic</t>
        </is>
      </c>
      <c r="B55" s="11">
        <f>SUMIFS(Data!$D:$D,Data!$A:$A,$A50,Data!$C:$C,"OnlyTraffic",Data!$B:$B,IF($F$2="All","*",$F$2))</f>
        <v/>
      </c>
      <c r="C55" s="11">
        <f>SUMIFS(Data!$E:$E,Data!$A:$A,$A50,Data!$C:$C,"OnlyTraffic",Data!$B:$B,IF($F$2="All","*",$F$2))</f>
        <v/>
      </c>
      <c r="D55" s="15">
        <f>SUMIFS(Data!$F:$F,Data!$A:$A,$A50,Data!$C:$C,"OnlyTraffic",Data!$B:$B,IF($F$2="All","*",$F$2))</f>
        <v/>
      </c>
      <c r="E55" s="12">
        <f>IFERROR(D55/C55,"")</f>
        <v/>
      </c>
      <c r="F55" s="12">
        <f>IFERROR(D55/B55,"")</f>
        <v/>
      </c>
      <c r="G55" s="14">
        <f>IFERROR(C55/B55,"")</f>
        <v/>
      </c>
      <c r="H55" s="15">
        <f>SUMIFS(Data!$G:$G,Data!$A:$A,$A50,Data!$C:$C,"OnlyTraffic",Data!$B:$B,IF($F$2="All","*",$F$2))</f>
        <v/>
      </c>
      <c r="I55" s="12">
        <f>IFERROR(H55/C55,"")</f>
        <v/>
      </c>
      <c r="J55" s="16">
        <f>IFERROR(H55/D55,"")</f>
        <v/>
      </c>
      <c r="K55" s="12">
        <f>H55-D55</f>
        <v/>
      </c>
      <c r="L55" s="26" t="inlineStr"/>
    </row>
    <row r="56">
      <c r="A56" s="20">
        <f>$B$2+7</f>
        <v/>
      </c>
      <c r="B56" s="21">
        <f>SUMIFS(Data!$D:$D,Data!$A:$A,$A56,Data!$B:$B,IF($F$2="All","*",$F$2))</f>
        <v/>
      </c>
      <c r="C56" s="21">
        <f>SUMIFS(Data!$E:$E,Data!$A:$A,$A56,Data!$B:$B,IF($F$2="All","*",$F$2))</f>
        <v/>
      </c>
      <c r="D56" s="22">
        <f>SUMIFS(Data!$F:$F,Data!$A:$A,$A56,Data!$B:$B,IF($F$2="All","*",$F$2))</f>
        <v/>
      </c>
      <c r="E56" s="22">
        <f>IFERROR(D56/C56,"")</f>
        <v/>
      </c>
      <c r="F56" s="22">
        <f>IFERROR(D56/B56,"")</f>
        <v/>
      </c>
      <c r="G56" s="23">
        <f>IFERROR(C56/B56,"")</f>
        <v/>
      </c>
      <c r="H56" s="22">
        <f>SUMIFS(Data!$G:$G,Data!$A:$A,$A56,Data!$B:$B,IF($F$2="All","*",$F$2))</f>
        <v/>
      </c>
      <c r="I56" s="22">
        <f>IFERROR(H56/C56,"")</f>
        <v/>
      </c>
      <c r="J56" s="24">
        <f>IFERROR(H56/D56,"")</f>
        <v/>
      </c>
      <c r="K56" s="22">
        <f>H56-D56</f>
        <v/>
      </c>
      <c r="L56" s="25" t="inlineStr"/>
    </row>
    <row r="57">
      <c r="A57" s="10" t="inlineStr">
        <is>
          <t xml:space="preserve">    Meta</t>
        </is>
      </c>
      <c r="B57" s="11">
        <f>SUMIFS(Data!$D:$D,Data!$A:$A,$A56,Data!$C:$C,"Meta",Data!$B:$B,IF($F$2="All","*",$F$2))</f>
        <v/>
      </c>
      <c r="C57" s="11">
        <f>SUMIFS(Data!$E:$E,Data!$A:$A,$A56,Data!$C:$C,"Meta",Data!$B:$B,IF($F$2="All","*",$F$2))</f>
        <v/>
      </c>
      <c r="D57" s="15">
        <f>SUMIFS(Data!$F:$F,Data!$A:$A,$A56,Data!$C:$C,"Meta",Data!$B:$B,IF($F$2="All","*",$F$2))</f>
        <v/>
      </c>
      <c r="E57" s="12">
        <f>IFERROR(D57/C57,"")</f>
        <v/>
      </c>
      <c r="F57" s="12">
        <f>IFERROR(D57/B57,"")</f>
        <v/>
      </c>
      <c r="G57" s="14">
        <f>IFERROR(C57/B57,"")</f>
        <v/>
      </c>
      <c r="H57" s="15">
        <f>SUMIFS(Data!$G:$G,Data!$A:$A,$A56,Data!$C:$C,"Meta",Data!$B:$B,IF($F$2="All","*",$F$2))</f>
        <v/>
      </c>
      <c r="I57" s="12">
        <f>IFERROR(H57/C57,"")</f>
        <v/>
      </c>
      <c r="J57" s="16">
        <f>IFERROR(H57/D57,"")</f>
        <v/>
      </c>
      <c r="K57" s="12">
        <f>H57-D57</f>
        <v/>
      </c>
      <c r="L57" s="26" t="inlineStr"/>
    </row>
    <row r="58">
      <c r="A58" s="10" t="inlineStr">
        <is>
          <t xml:space="preserve">    OnlyFinder</t>
        </is>
      </c>
      <c r="B58" s="11">
        <f>SUMIFS(Data!$D:$D,Data!$A:$A,$A56,Data!$C:$C,"OnlyFinder",Data!$B:$B,IF($F$2="All","*",$F$2))</f>
        <v/>
      </c>
      <c r="C58" s="11">
        <f>SUMIFS(Data!$E:$E,Data!$A:$A,$A56,Data!$C:$C,"OnlyFinder",Data!$B:$B,IF($F$2="All","*",$F$2))</f>
        <v/>
      </c>
      <c r="D58" s="15">
        <f>SUMIFS(Data!$F:$F,Data!$A:$A,$A56,Data!$C:$C,"OnlyFinder",Data!$B:$B,IF($F$2="All","*",$F$2))</f>
        <v/>
      </c>
      <c r="E58" s="12">
        <f>IFERROR(D58/C58,"")</f>
        <v/>
      </c>
      <c r="F58" s="12">
        <f>IFERROR(D58/B58,"")</f>
        <v/>
      </c>
      <c r="G58" s="14">
        <f>IFERROR(C58/B58,"")</f>
        <v/>
      </c>
      <c r="H58" s="15">
        <f>SUMIFS(Data!$G:$G,Data!$A:$A,$A56,Data!$C:$C,"OnlyFinder",Data!$B:$B,IF($F$2="All","*",$F$2))</f>
        <v/>
      </c>
      <c r="I58" s="12">
        <f>IFERROR(H58/C58,"")</f>
        <v/>
      </c>
      <c r="J58" s="16">
        <f>IFERROR(H58/D58,"")</f>
        <v/>
      </c>
      <c r="K58" s="12">
        <f>H58-D58</f>
        <v/>
      </c>
      <c r="L58" s="26" t="inlineStr"/>
    </row>
    <row r="59">
      <c r="A59" s="10" t="inlineStr">
        <is>
          <t xml:space="preserve">    OnlyGuider</t>
        </is>
      </c>
      <c r="B59" s="11">
        <f>SUMIFS(Data!$D:$D,Data!$A:$A,$A56,Data!$C:$C,"OnlyGuider",Data!$B:$B,IF($F$2="All","*",$F$2))</f>
        <v/>
      </c>
      <c r="C59" s="11">
        <f>SUMIFS(Data!$E:$E,Data!$A:$A,$A56,Data!$C:$C,"OnlyGuider",Data!$B:$B,IF($F$2="All","*",$F$2))</f>
        <v/>
      </c>
      <c r="D59" s="15">
        <f>SUMIFS(Data!$F:$F,Data!$A:$A,$A56,Data!$C:$C,"OnlyGuider",Data!$B:$B,IF($F$2="All","*",$F$2))</f>
        <v/>
      </c>
      <c r="E59" s="12">
        <f>IFERROR(D59/C59,"")</f>
        <v/>
      </c>
      <c r="F59" s="12">
        <f>IFERROR(D59/B59,"")</f>
        <v/>
      </c>
      <c r="G59" s="14">
        <f>IFERROR(C59/B59,"")</f>
        <v/>
      </c>
      <c r="H59" s="15">
        <f>SUMIFS(Data!$G:$G,Data!$A:$A,$A56,Data!$C:$C,"OnlyGuider",Data!$B:$B,IF($F$2="All","*",$F$2))</f>
        <v/>
      </c>
      <c r="I59" s="12">
        <f>IFERROR(H59/C59,"")</f>
        <v/>
      </c>
      <c r="J59" s="16">
        <f>IFERROR(H59/D59,"")</f>
        <v/>
      </c>
      <c r="K59" s="12">
        <f>H59-D59</f>
        <v/>
      </c>
      <c r="L59" s="26" t="inlineStr"/>
    </row>
    <row r="60">
      <c r="A60" s="10" t="inlineStr">
        <is>
          <t xml:space="preserve">    OnlySeeker</t>
        </is>
      </c>
      <c r="B60" s="11">
        <f>SUMIFS(Data!$D:$D,Data!$A:$A,$A56,Data!$C:$C,"OnlySeeker",Data!$B:$B,IF($F$2="All","*",$F$2))</f>
        <v/>
      </c>
      <c r="C60" s="11">
        <f>SUMIFS(Data!$E:$E,Data!$A:$A,$A56,Data!$C:$C,"OnlySeeker",Data!$B:$B,IF($F$2="All","*",$F$2))</f>
        <v/>
      </c>
      <c r="D60" s="15">
        <f>SUMIFS(Data!$F:$F,Data!$A:$A,$A56,Data!$C:$C,"OnlySeeker",Data!$B:$B,IF($F$2="All","*",$F$2))</f>
        <v/>
      </c>
      <c r="E60" s="12">
        <f>IFERROR(D60/C60,"")</f>
        <v/>
      </c>
      <c r="F60" s="12">
        <f>IFERROR(D60/B60,"")</f>
        <v/>
      </c>
      <c r="G60" s="14">
        <f>IFERROR(C60/B60,"")</f>
        <v/>
      </c>
      <c r="H60" s="15">
        <f>SUMIFS(Data!$G:$G,Data!$A:$A,$A56,Data!$C:$C,"OnlySeeker",Data!$B:$B,IF($F$2="All","*",$F$2))</f>
        <v/>
      </c>
      <c r="I60" s="12">
        <f>IFERROR(H60/C60,"")</f>
        <v/>
      </c>
      <c r="J60" s="16">
        <f>IFERROR(H60/D60,"")</f>
        <v/>
      </c>
      <c r="K60" s="12">
        <f>H60-D60</f>
        <v/>
      </c>
      <c r="L60" s="26" t="inlineStr"/>
    </row>
    <row r="61">
      <c r="A61" s="10" t="inlineStr">
        <is>
          <t xml:space="preserve">    OnlyTraffic</t>
        </is>
      </c>
      <c r="B61" s="11">
        <f>SUMIFS(Data!$D:$D,Data!$A:$A,$A56,Data!$C:$C,"OnlyTraffic",Data!$B:$B,IF($F$2="All","*",$F$2))</f>
        <v/>
      </c>
      <c r="C61" s="11">
        <f>SUMIFS(Data!$E:$E,Data!$A:$A,$A56,Data!$C:$C,"OnlyTraffic",Data!$B:$B,IF($F$2="All","*",$F$2))</f>
        <v/>
      </c>
      <c r="D61" s="15">
        <f>SUMIFS(Data!$F:$F,Data!$A:$A,$A56,Data!$C:$C,"OnlyTraffic",Data!$B:$B,IF($F$2="All","*",$F$2))</f>
        <v/>
      </c>
      <c r="E61" s="12">
        <f>IFERROR(D61/C61,"")</f>
        <v/>
      </c>
      <c r="F61" s="12">
        <f>IFERROR(D61/B61,"")</f>
        <v/>
      </c>
      <c r="G61" s="14">
        <f>IFERROR(C61/B61,"")</f>
        <v/>
      </c>
      <c r="H61" s="15">
        <f>SUMIFS(Data!$G:$G,Data!$A:$A,$A56,Data!$C:$C,"OnlyTraffic",Data!$B:$B,IF($F$2="All","*",$F$2))</f>
        <v/>
      </c>
      <c r="I61" s="12">
        <f>IFERROR(H61/C61,"")</f>
        <v/>
      </c>
      <c r="J61" s="16">
        <f>IFERROR(H61/D61,"")</f>
        <v/>
      </c>
      <c r="K61" s="12">
        <f>H61-D61</f>
        <v/>
      </c>
      <c r="L61" s="26" t="inlineStr"/>
    </row>
    <row r="62">
      <c r="A62" s="20">
        <f>$B$2+8</f>
        <v/>
      </c>
      <c r="B62" s="21">
        <f>SUMIFS(Data!$D:$D,Data!$A:$A,$A62,Data!$B:$B,IF($F$2="All","*",$F$2))</f>
        <v/>
      </c>
      <c r="C62" s="21">
        <f>SUMIFS(Data!$E:$E,Data!$A:$A,$A62,Data!$B:$B,IF($F$2="All","*",$F$2))</f>
        <v/>
      </c>
      <c r="D62" s="22">
        <f>SUMIFS(Data!$F:$F,Data!$A:$A,$A62,Data!$B:$B,IF($F$2="All","*",$F$2))</f>
        <v/>
      </c>
      <c r="E62" s="22">
        <f>IFERROR(D62/C62,"")</f>
        <v/>
      </c>
      <c r="F62" s="22">
        <f>IFERROR(D62/B62,"")</f>
        <v/>
      </c>
      <c r="G62" s="23">
        <f>IFERROR(C62/B62,"")</f>
        <v/>
      </c>
      <c r="H62" s="22">
        <f>SUMIFS(Data!$G:$G,Data!$A:$A,$A62,Data!$B:$B,IF($F$2="All","*",$F$2))</f>
        <v/>
      </c>
      <c r="I62" s="22">
        <f>IFERROR(H62/C62,"")</f>
        <v/>
      </c>
      <c r="J62" s="24">
        <f>IFERROR(H62/D62,"")</f>
        <v/>
      </c>
      <c r="K62" s="22">
        <f>H62-D62</f>
        <v/>
      </c>
      <c r="L62" s="25" t="inlineStr"/>
    </row>
    <row r="63">
      <c r="A63" s="10" t="inlineStr">
        <is>
          <t xml:space="preserve">    Meta</t>
        </is>
      </c>
      <c r="B63" s="11">
        <f>SUMIFS(Data!$D:$D,Data!$A:$A,$A62,Data!$C:$C,"Meta",Data!$B:$B,IF($F$2="All","*",$F$2))</f>
        <v/>
      </c>
      <c r="C63" s="11">
        <f>SUMIFS(Data!$E:$E,Data!$A:$A,$A62,Data!$C:$C,"Meta",Data!$B:$B,IF($F$2="All","*",$F$2))</f>
        <v/>
      </c>
      <c r="D63" s="15">
        <f>SUMIFS(Data!$F:$F,Data!$A:$A,$A62,Data!$C:$C,"Meta",Data!$B:$B,IF($F$2="All","*",$F$2))</f>
        <v/>
      </c>
      <c r="E63" s="12">
        <f>IFERROR(D63/C63,"")</f>
        <v/>
      </c>
      <c r="F63" s="12">
        <f>IFERROR(D63/B63,"")</f>
        <v/>
      </c>
      <c r="G63" s="14">
        <f>IFERROR(C63/B63,"")</f>
        <v/>
      </c>
      <c r="H63" s="15">
        <f>SUMIFS(Data!$G:$G,Data!$A:$A,$A62,Data!$C:$C,"Meta",Data!$B:$B,IF($F$2="All","*",$F$2))</f>
        <v/>
      </c>
      <c r="I63" s="12">
        <f>IFERROR(H63/C63,"")</f>
        <v/>
      </c>
      <c r="J63" s="16">
        <f>IFERROR(H63/D63,"")</f>
        <v/>
      </c>
      <c r="K63" s="12">
        <f>H63-D63</f>
        <v/>
      </c>
      <c r="L63" s="26" t="inlineStr"/>
    </row>
    <row r="64">
      <c r="A64" s="10" t="inlineStr">
        <is>
          <t xml:space="preserve">    OnlyFinder</t>
        </is>
      </c>
      <c r="B64" s="11">
        <f>SUMIFS(Data!$D:$D,Data!$A:$A,$A62,Data!$C:$C,"OnlyFinder",Data!$B:$B,IF($F$2="All","*",$F$2))</f>
        <v/>
      </c>
      <c r="C64" s="11">
        <f>SUMIFS(Data!$E:$E,Data!$A:$A,$A62,Data!$C:$C,"OnlyFinder",Data!$B:$B,IF($F$2="All","*",$F$2))</f>
        <v/>
      </c>
      <c r="D64" s="15">
        <f>SUMIFS(Data!$F:$F,Data!$A:$A,$A62,Data!$C:$C,"OnlyFinder",Data!$B:$B,IF($F$2="All","*",$F$2))</f>
        <v/>
      </c>
      <c r="E64" s="12">
        <f>IFERROR(D64/C64,"")</f>
        <v/>
      </c>
      <c r="F64" s="12">
        <f>IFERROR(D64/B64,"")</f>
        <v/>
      </c>
      <c r="G64" s="14">
        <f>IFERROR(C64/B64,"")</f>
        <v/>
      </c>
      <c r="H64" s="15">
        <f>SUMIFS(Data!$G:$G,Data!$A:$A,$A62,Data!$C:$C,"OnlyFinder",Data!$B:$B,IF($F$2="All","*",$F$2))</f>
        <v/>
      </c>
      <c r="I64" s="12">
        <f>IFERROR(H64/C64,"")</f>
        <v/>
      </c>
      <c r="J64" s="16">
        <f>IFERROR(H64/D64,"")</f>
        <v/>
      </c>
      <c r="K64" s="12">
        <f>H64-D64</f>
        <v/>
      </c>
      <c r="L64" s="26" t="inlineStr"/>
    </row>
    <row r="65">
      <c r="A65" s="10" t="inlineStr">
        <is>
          <t xml:space="preserve">    OnlyGuider</t>
        </is>
      </c>
      <c r="B65" s="11">
        <f>SUMIFS(Data!$D:$D,Data!$A:$A,$A62,Data!$C:$C,"OnlyGuider",Data!$B:$B,IF($F$2="All","*",$F$2))</f>
        <v/>
      </c>
      <c r="C65" s="11">
        <f>SUMIFS(Data!$E:$E,Data!$A:$A,$A62,Data!$C:$C,"OnlyGuider",Data!$B:$B,IF($F$2="All","*",$F$2))</f>
        <v/>
      </c>
      <c r="D65" s="15">
        <f>SUMIFS(Data!$F:$F,Data!$A:$A,$A62,Data!$C:$C,"OnlyGuider",Data!$B:$B,IF($F$2="All","*",$F$2))</f>
        <v/>
      </c>
      <c r="E65" s="12">
        <f>IFERROR(D65/C65,"")</f>
        <v/>
      </c>
      <c r="F65" s="12">
        <f>IFERROR(D65/B65,"")</f>
        <v/>
      </c>
      <c r="G65" s="14">
        <f>IFERROR(C65/B65,"")</f>
        <v/>
      </c>
      <c r="H65" s="15">
        <f>SUMIFS(Data!$G:$G,Data!$A:$A,$A62,Data!$C:$C,"OnlyGuider",Data!$B:$B,IF($F$2="All","*",$F$2))</f>
        <v/>
      </c>
      <c r="I65" s="12">
        <f>IFERROR(H65/C65,"")</f>
        <v/>
      </c>
      <c r="J65" s="16">
        <f>IFERROR(H65/D65,"")</f>
        <v/>
      </c>
      <c r="K65" s="12">
        <f>H65-D65</f>
        <v/>
      </c>
      <c r="L65" s="26" t="inlineStr"/>
    </row>
    <row r="66">
      <c r="A66" s="10" t="inlineStr">
        <is>
          <t xml:space="preserve">    OnlySeeker</t>
        </is>
      </c>
      <c r="B66" s="11">
        <f>SUMIFS(Data!$D:$D,Data!$A:$A,$A62,Data!$C:$C,"OnlySeeker",Data!$B:$B,IF($F$2="All","*",$F$2))</f>
        <v/>
      </c>
      <c r="C66" s="11">
        <f>SUMIFS(Data!$E:$E,Data!$A:$A,$A62,Data!$C:$C,"OnlySeeker",Data!$B:$B,IF($F$2="All","*",$F$2))</f>
        <v/>
      </c>
      <c r="D66" s="15">
        <f>SUMIFS(Data!$F:$F,Data!$A:$A,$A62,Data!$C:$C,"OnlySeeker",Data!$B:$B,IF($F$2="All","*",$F$2))</f>
        <v/>
      </c>
      <c r="E66" s="12">
        <f>IFERROR(D66/C66,"")</f>
        <v/>
      </c>
      <c r="F66" s="12">
        <f>IFERROR(D66/B66,"")</f>
        <v/>
      </c>
      <c r="G66" s="14">
        <f>IFERROR(C66/B66,"")</f>
        <v/>
      </c>
      <c r="H66" s="15">
        <f>SUMIFS(Data!$G:$G,Data!$A:$A,$A62,Data!$C:$C,"OnlySeeker",Data!$B:$B,IF($F$2="All","*",$F$2))</f>
        <v/>
      </c>
      <c r="I66" s="12">
        <f>IFERROR(H66/C66,"")</f>
        <v/>
      </c>
      <c r="J66" s="16">
        <f>IFERROR(H66/D66,"")</f>
        <v/>
      </c>
      <c r="K66" s="12">
        <f>H66-D66</f>
        <v/>
      </c>
      <c r="L66" s="26" t="inlineStr"/>
    </row>
    <row r="67">
      <c r="A67" s="10" t="inlineStr">
        <is>
          <t xml:space="preserve">    OnlyTraffic</t>
        </is>
      </c>
      <c r="B67" s="11">
        <f>SUMIFS(Data!$D:$D,Data!$A:$A,$A62,Data!$C:$C,"OnlyTraffic",Data!$B:$B,IF($F$2="All","*",$F$2))</f>
        <v/>
      </c>
      <c r="C67" s="11">
        <f>SUMIFS(Data!$E:$E,Data!$A:$A,$A62,Data!$C:$C,"OnlyTraffic",Data!$B:$B,IF($F$2="All","*",$F$2))</f>
        <v/>
      </c>
      <c r="D67" s="15">
        <f>SUMIFS(Data!$F:$F,Data!$A:$A,$A62,Data!$C:$C,"OnlyTraffic",Data!$B:$B,IF($F$2="All","*",$F$2))</f>
        <v/>
      </c>
      <c r="E67" s="12">
        <f>IFERROR(D67/C67,"")</f>
        <v/>
      </c>
      <c r="F67" s="12">
        <f>IFERROR(D67/B67,"")</f>
        <v/>
      </c>
      <c r="G67" s="14">
        <f>IFERROR(C67/B67,"")</f>
        <v/>
      </c>
      <c r="H67" s="15">
        <f>SUMIFS(Data!$G:$G,Data!$A:$A,$A62,Data!$C:$C,"OnlyTraffic",Data!$B:$B,IF($F$2="All","*",$F$2))</f>
        <v/>
      </c>
      <c r="I67" s="12">
        <f>IFERROR(H67/C67,"")</f>
        <v/>
      </c>
      <c r="J67" s="16">
        <f>IFERROR(H67/D67,"")</f>
        <v/>
      </c>
      <c r="K67" s="12">
        <f>H67-D67</f>
        <v/>
      </c>
      <c r="L67" s="26" t="inlineStr"/>
    </row>
    <row r="68">
      <c r="A68" s="20">
        <f>$B$2+9</f>
        <v/>
      </c>
      <c r="B68" s="21">
        <f>SUMIFS(Data!$D:$D,Data!$A:$A,$A68,Data!$B:$B,IF($F$2="All","*",$F$2))</f>
        <v/>
      </c>
      <c r="C68" s="21">
        <f>SUMIFS(Data!$E:$E,Data!$A:$A,$A68,Data!$B:$B,IF($F$2="All","*",$F$2))</f>
        <v/>
      </c>
      <c r="D68" s="22">
        <f>SUMIFS(Data!$F:$F,Data!$A:$A,$A68,Data!$B:$B,IF($F$2="All","*",$F$2))</f>
        <v/>
      </c>
      <c r="E68" s="22">
        <f>IFERROR(D68/C68,"")</f>
        <v/>
      </c>
      <c r="F68" s="22">
        <f>IFERROR(D68/B68,"")</f>
        <v/>
      </c>
      <c r="G68" s="23">
        <f>IFERROR(C68/B68,"")</f>
        <v/>
      </c>
      <c r="H68" s="22">
        <f>SUMIFS(Data!$G:$G,Data!$A:$A,$A68,Data!$B:$B,IF($F$2="All","*",$F$2))</f>
        <v/>
      </c>
      <c r="I68" s="22">
        <f>IFERROR(H68/C68,"")</f>
        <v/>
      </c>
      <c r="J68" s="24">
        <f>IFERROR(H68/D68,"")</f>
        <v/>
      </c>
      <c r="K68" s="22">
        <f>H68-D68</f>
        <v/>
      </c>
      <c r="L68" s="25" t="inlineStr"/>
    </row>
    <row r="69">
      <c r="A69" s="10" t="inlineStr">
        <is>
          <t xml:space="preserve">    Meta</t>
        </is>
      </c>
      <c r="B69" s="11">
        <f>SUMIFS(Data!$D:$D,Data!$A:$A,$A68,Data!$C:$C,"Meta",Data!$B:$B,IF($F$2="All","*",$F$2))</f>
        <v/>
      </c>
      <c r="C69" s="11">
        <f>SUMIFS(Data!$E:$E,Data!$A:$A,$A68,Data!$C:$C,"Meta",Data!$B:$B,IF($F$2="All","*",$F$2))</f>
        <v/>
      </c>
      <c r="D69" s="15">
        <f>SUMIFS(Data!$F:$F,Data!$A:$A,$A68,Data!$C:$C,"Meta",Data!$B:$B,IF($F$2="All","*",$F$2))</f>
        <v/>
      </c>
      <c r="E69" s="12">
        <f>IFERROR(D69/C69,"")</f>
        <v/>
      </c>
      <c r="F69" s="12">
        <f>IFERROR(D69/B69,"")</f>
        <v/>
      </c>
      <c r="G69" s="14">
        <f>IFERROR(C69/B69,"")</f>
        <v/>
      </c>
      <c r="H69" s="15">
        <f>SUMIFS(Data!$G:$G,Data!$A:$A,$A68,Data!$C:$C,"Meta",Data!$B:$B,IF($F$2="All","*",$F$2))</f>
        <v/>
      </c>
      <c r="I69" s="12">
        <f>IFERROR(H69/C69,"")</f>
        <v/>
      </c>
      <c r="J69" s="16">
        <f>IFERROR(H69/D69,"")</f>
        <v/>
      </c>
      <c r="K69" s="12">
        <f>H69-D69</f>
        <v/>
      </c>
      <c r="L69" s="26" t="inlineStr"/>
    </row>
    <row r="70">
      <c r="A70" s="10" t="inlineStr">
        <is>
          <t xml:space="preserve">    OnlyFinder</t>
        </is>
      </c>
      <c r="B70" s="11">
        <f>SUMIFS(Data!$D:$D,Data!$A:$A,$A68,Data!$C:$C,"OnlyFinder",Data!$B:$B,IF($F$2="All","*",$F$2))</f>
        <v/>
      </c>
      <c r="C70" s="11">
        <f>SUMIFS(Data!$E:$E,Data!$A:$A,$A68,Data!$C:$C,"OnlyFinder",Data!$B:$B,IF($F$2="All","*",$F$2))</f>
        <v/>
      </c>
      <c r="D70" s="15">
        <f>SUMIFS(Data!$F:$F,Data!$A:$A,$A68,Data!$C:$C,"OnlyFinder",Data!$B:$B,IF($F$2="All","*",$F$2))</f>
        <v/>
      </c>
      <c r="E70" s="12">
        <f>IFERROR(D70/C70,"")</f>
        <v/>
      </c>
      <c r="F70" s="12">
        <f>IFERROR(D70/B70,"")</f>
        <v/>
      </c>
      <c r="G70" s="14">
        <f>IFERROR(C70/B70,"")</f>
        <v/>
      </c>
      <c r="H70" s="15">
        <f>SUMIFS(Data!$G:$G,Data!$A:$A,$A68,Data!$C:$C,"OnlyFinder",Data!$B:$B,IF($F$2="All","*",$F$2))</f>
        <v/>
      </c>
      <c r="I70" s="12">
        <f>IFERROR(H70/C70,"")</f>
        <v/>
      </c>
      <c r="J70" s="16">
        <f>IFERROR(H70/D70,"")</f>
        <v/>
      </c>
      <c r="K70" s="12">
        <f>H70-D70</f>
        <v/>
      </c>
      <c r="L70" s="26" t="inlineStr"/>
    </row>
    <row r="71">
      <c r="A71" s="10" t="inlineStr">
        <is>
          <t xml:space="preserve">    OnlyGuider</t>
        </is>
      </c>
      <c r="B71" s="11">
        <f>SUMIFS(Data!$D:$D,Data!$A:$A,$A68,Data!$C:$C,"OnlyGuider",Data!$B:$B,IF($F$2="All","*",$F$2))</f>
        <v/>
      </c>
      <c r="C71" s="11">
        <f>SUMIFS(Data!$E:$E,Data!$A:$A,$A68,Data!$C:$C,"OnlyGuider",Data!$B:$B,IF($F$2="All","*",$F$2))</f>
        <v/>
      </c>
      <c r="D71" s="15">
        <f>SUMIFS(Data!$F:$F,Data!$A:$A,$A68,Data!$C:$C,"OnlyGuider",Data!$B:$B,IF($F$2="All","*",$F$2))</f>
        <v/>
      </c>
      <c r="E71" s="12">
        <f>IFERROR(D71/C71,"")</f>
        <v/>
      </c>
      <c r="F71" s="12">
        <f>IFERROR(D71/B71,"")</f>
        <v/>
      </c>
      <c r="G71" s="14">
        <f>IFERROR(C71/B71,"")</f>
        <v/>
      </c>
      <c r="H71" s="15">
        <f>SUMIFS(Data!$G:$G,Data!$A:$A,$A68,Data!$C:$C,"OnlyGuider",Data!$B:$B,IF($F$2="All","*",$F$2))</f>
        <v/>
      </c>
      <c r="I71" s="12">
        <f>IFERROR(H71/C71,"")</f>
        <v/>
      </c>
      <c r="J71" s="16">
        <f>IFERROR(H71/D71,"")</f>
        <v/>
      </c>
      <c r="K71" s="12">
        <f>H71-D71</f>
        <v/>
      </c>
      <c r="L71" s="26" t="inlineStr"/>
    </row>
    <row r="72">
      <c r="A72" s="10" t="inlineStr">
        <is>
          <t xml:space="preserve">    OnlySeeker</t>
        </is>
      </c>
      <c r="B72" s="11">
        <f>SUMIFS(Data!$D:$D,Data!$A:$A,$A68,Data!$C:$C,"OnlySeeker",Data!$B:$B,IF($F$2="All","*",$F$2))</f>
        <v/>
      </c>
      <c r="C72" s="11">
        <f>SUMIFS(Data!$E:$E,Data!$A:$A,$A68,Data!$C:$C,"OnlySeeker",Data!$B:$B,IF($F$2="All","*",$F$2))</f>
        <v/>
      </c>
      <c r="D72" s="15">
        <f>SUMIFS(Data!$F:$F,Data!$A:$A,$A68,Data!$C:$C,"OnlySeeker",Data!$B:$B,IF($F$2="All","*",$F$2))</f>
        <v/>
      </c>
      <c r="E72" s="12">
        <f>IFERROR(D72/C72,"")</f>
        <v/>
      </c>
      <c r="F72" s="12">
        <f>IFERROR(D72/B72,"")</f>
        <v/>
      </c>
      <c r="G72" s="14">
        <f>IFERROR(C72/B72,"")</f>
        <v/>
      </c>
      <c r="H72" s="15">
        <f>SUMIFS(Data!$G:$G,Data!$A:$A,$A68,Data!$C:$C,"OnlySeeker",Data!$B:$B,IF($F$2="All","*",$F$2))</f>
        <v/>
      </c>
      <c r="I72" s="12">
        <f>IFERROR(H72/C72,"")</f>
        <v/>
      </c>
      <c r="J72" s="16">
        <f>IFERROR(H72/D72,"")</f>
        <v/>
      </c>
      <c r="K72" s="12">
        <f>H72-D72</f>
        <v/>
      </c>
      <c r="L72" s="26" t="inlineStr"/>
    </row>
    <row r="73">
      <c r="A73" s="10" t="inlineStr">
        <is>
          <t xml:space="preserve">    OnlyTraffic</t>
        </is>
      </c>
      <c r="B73" s="11">
        <f>SUMIFS(Data!$D:$D,Data!$A:$A,$A68,Data!$C:$C,"OnlyTraffic",Data!$B:$B,IF($F$2="All","*",$F$2))</f>
        <v/>
      </c>
      <c r="C73" s="11">
        <f>SUMIFS(Data!$E:$E,Data!$A:$A,$A68,Data!$C:$C,"OnlyTraffic",Data!$B:$B,IF($F$2="All","*",$F$2))</f>
        <v/>
      </c>
      <c r="D73" s="15">
        <f>SUMIFS(Data!$F:$F,Data!$A:$A,$A68,Data!$C:$C,"OnlyTraffic",Data!$B:$B,IF($F$2="All","*",$F$2))</f>
        <v/>
      </c>
      <c r="E73" s="12">
        <f>IFERROR(D73/C73,"")</f>
        <v/>
      </c>
      <c r="F73" s="12">
        <f>IFERROR(D73/B73,"")</f>
        <v/>
      </c>
      <c r="G73" s="14">
        <f>IFERROR(C73/B73,"")</f>
        <v/>
      </c>
      <c r="H73" s="15">
        <f>SUMIFS(Data!$G:$G,Data!$A:$A,$A68,Data!$C:$C,"OnlyTraffic",Data!$B:$B,IF($F$2="All","*",$F$2))</f>
        <v/>
      </c>
      <c r="I73" s="12">
        <f>IFERROR(H73/C73,"")</f>
        <v/>
      </c>
      <c r="J73" s="16">
        <f>IFERROR(H73/D73,"")</f>
        <v/>
      </c>
      <c r="K73" s="12">
        <f>H73-D73</f>
        <v/>
      </c>
      <c r="L73" s="26" t="inlineStr"/>
    </row>
    <row r="74">
      <c r="A74" s="20">
        <f>$B$2+10</f>
        <v/>
      </c>
      <c r="B74" s="21">
        <f>SUMIFS(Data!$D:$D,Data!$A:$A,$A74,Data!$B:$B,IF($F$2="All","*",$F$2))</f>
        <v/>
      </c>
      <c r="C74" s="21">
        <f>SUMIFS(Data!$E:$E,Data!$A:$A,$A74,Data!$B:$B,IF($F$2="All","*",$F$2))</f>
        <v/>
      </c>
      <c r="D74" s="22">
        <f>SUMIFS(Data!$F:$F,Data!$A:$A,$A74,Data!$B:$B,IF($F$2="All","*",$F$2))</f>
        <v/>
      </c>
      <c r="E74" s="22">
        <f>IFERROR(D74/C74,"")</f>
        <v/>
      </c>
      <c r="F74" s="22">
        <f>IFERROR(D74/B74,"")</f>
        <v/>
      </c>
      <c r="G74" s="23">
        <f>IFERROR(C74/B74,"")</f>
        <v/>
      </c>
      <c r="H74" s="22">
        <f>SUMIFS(Data!$G:$G,Data!$A:$A,$A74,Data!$B:$B,IF($F$2="All","*",$F$2))</f>
        <v/>
      </c>
      <c r="I74" s="22">
        <f>IFERROR(H74/C74,"")</f>
        <v/>
      </c>
      <c r="J74" s="24">
        <f>IFERROR(H74/D74,"")</f>
        <v/>
      </c>
      <c r="K74" s="22">
        <f>H74-D74</f>
        <v/>
      </c>
      <c r="L74" s="25" t="inlineStr"/>
    </row>
    <row r="75">
      <c r="A75" s="10" t="inlineStr">
        <is>
          <t xml:space="preserve">    Meta</t>
        </is>
      </c>
      <c r="B75" s="11">
        <f>SUMIFS(Data!$D:$D,Data!$A:$A,$A74,Data!$C:$C,"Meta",Data!$B:$B,IF($F$2="All","*",$F$2))</f>
        <v/>
      </c>
      <c r="C75" s="11">
        <f>SUMIFS(Data!$E:$E,Data!$A:$A,$A74,Data!$C:$C,"Meta",Data!$B:$B,IF($F$2="All","*",$F$2))</f>
        <v/>
      </c>
      <c r="D75" s="15">
        <f>SUMIFS(Data!$F:$F,Data!$A:$A,$A74,Data!$C:$C,"Meta",Data!$B:$B,IF($F$2="All","*",$F$2))</f>
        <v/>
      </c>
      <c r="E75" s="12">
        <f>IFERROR(D75/C75,"")</f>
        <v/>
      </c>
      <c r="F75" s="12">
        <f>IFERROR(D75/B75,"")</f>
        <v/>
      </c>
      <c r="G75" s="14">
        <f>IFERROR(C75/B75,"")</f>
        <v/>
      </c>
      <c r="H75" s="15">
        <f>SUMIFS(Data!$G:$G,Data!$A:$A,$A74,Data!$C:$C,"Meta",Data!$B:$B,IF($F$2="All","*",$F$2))</f>
        <v/>
      </c>
      <c r="I75" s="12">
        <f>IFERROR(H75/C75,"")</f>
        <v/>
      </c>
      <c r="J75" s="16">
        <f>IFERROR(H75/D75,"")</f>
        <v/>
      </c>
      <c r="K75" s="12">
        <f>H75-D75</f>
        <v/>
      </c>
      <c r="L75" s="26" t="inlineStr"/>
    </row>
    <row r="76">
      <c r="A76" s="10" t="inlineStr">
        <is>
          <t xml:space="preserve">    OnlyFinder</t>
        </is>
      </c>
      <c r="B76" s="11">
        <f>SUMIFS(Data!$D:$D,Data!$A:$A,$A74,Data!$C:$C,"OnlyFinder",Data!$B:$B,IF($F$2="All","*",$F$2))</f>
        <v/>
      </c>
      <c r="C76" s="11">
        <f>SUMIFS(Data!$E:$E,Data!$A:$A,$A74,Data!$C:$C,"OnlyFinder",Data!$B:$B,IF($F$2="All","*",$F$2))</f>
        <v/>
      </c>
      <c r="D76" s="15">
        <f>SUMIFS(Data!$F:$F,Data!$A:$A,$A74,Data!$C:$C,"OnlyFinder",Data!$B:$B,IF($F$2="All","*",$F$2))</f>
        <v/>
      </c>
      <c r="E76" s="12">
        <f>IFERROR(D76/C76,"")</f>
        <v/>
      </c>
      <c r="F76" s="12">
        <f>IFERROR(D76/B76,"")</f>
        <v/>
      </c>
      <c r="G76" s="14">
        <f>IFERROR(C76/B76,"")</f>
        <v/>
      </c>
      <c r="H76" s="15">
        <f>SUMIFS(Data!$G:$G,Data!$A:$A,$A74,Data!$C:$C,"OnlyFinder",Data!$B:$B,IF($F$2="All","*",$F$2))</f>
        <v/>
      </c>
      <c r="I76" s="12">
        <f>IFERROR(H76/C76,"")</f>
        <v/>
      </c>
      <c r="J76" s="16">
        <f>IFERROR(H76/D76,"")</f>
        <v/>
      </c>
      <c r="K76" s="12">
        <f>H76-D76</f>
        <v/>
      </c>
      <c r="L76" s="26" t="inlineStr"/>
    </row>
    <row r="77">
      <c r="A77" s="10" t="inlineStr">
        <is>
          <t xml:space="preserve">    OnlyGuider</t>
        </is>
      </c>
      <c r="B77" s="11">
        <f>SUMIFS(Data!$D:$D,Data!$A:$A,$A74,Data!$C:$C,"OnlyGuider",Data!$B:$B,IF($F$2="All","*",$F$2))</f>
        <v/>
      </c>
      <c r="C77" s="11">
        <f>SUMIFS(Data!$E:$E,Data!$A:$A,$A74,Data!$C:$C,"OnlyGuider",Data!$B:$B,IF($F$2="All","*",$F$2))</f>
        <v/>
      </c>
      <c r="D77" s="15">
        <f>SUMIFS(Data!$F:$F,Data!$A:$A,$A74,Data!$C:$C,"OnlyGuider",Data!$B:$B,IF($F$2="All","*",$F$2))</f>
        <v/>
      </c>
      <c r="E77" s="12">
        <f>IFERROR(D77/C77,"")</f>
        <v/>
      </c>
      <c r="F77" s="12">
        <f>IFERROR(D77/B77,"")</f>
        <v/>
      </c>
      <c r="G77" s="14">
        <f>IFERROR(C77/B77,"")</f>
        <v/>
      </c>
      <c r="H77" s="15">
        <f>SUMIFS(Data!$G:$G,Data!$A:$A,$A74,Data!$C:$C,"OnlyGuider",Data!$B:$B,IF($F$2="All","*",$F$2))</f>
        <v/>
      </c>
      <c r="I77" s="12">
        <f>IFERROR(H77/C77,"")</f>
        <v/>
      </c>
      <c r="J77" s="16">
        <f>IFERROR(H77/D77,"")</f>
        <v/>
      </c>
      <c r="K77" s="12">
        <f>H77-D77</f>
        <v/>
      </c>
      <c r="L77" s="26" t="inlineStr"/>
    </row>
    <row r="78">
      <c r="A78" s="10" t="inlineStr">
        <is>
          <t xml:space="preserve">    OnlySeeker</t>
        </is>
      </c>
      <c r="B78" s="11">
        <f>SUMIFS(Data!$D:$D,Data!$A:$A,$A74,Data!$C:$C,"OnlySeeker",Data!$B:$B,IF($F$2="All","*",$F$2))</f>
        <v/>
      </c>
      <c r="C78" s="11">
        <f>SUMIFS(Data!$E:$E,Data!$A:$A,$A74,Data!$C:$C,"OnlySeeker",Data!$B:$B,IF($F$2="All","*",$F$2))</f>
        <v/>
      </c>
      <c r="D78" s="15">
        <f>SUMIFS(Data!$F:$F,Data!$A:$A,$A74,Data!$C:$C,"OnlySeeker",Data!$B:$B,IF($F$2="All","*",$F$2))</f>
        <v/>
      </c>
      <c r="E78" s="12">
        <f>IFERROR(D78/C78,"")</f>
        <v/>
      </c>
      <c r="F78" s="12">
        <f>IFERROR(D78/B78,"")</f>
        <v/>
      </c>
      <c r="G78" s="14">
        <f>IFERROR(C78/B78,"")</f>
        <v/>
      </c>
      <c r="H78" s="15">
        <f>SUMIFS(Data!$G:$G,Data!$A:$A,$A74,Data!$C:$C,"OnlySeeker",Data!$B:$B,IF($F$2="All","*",$F$2))</f>
        <v/>
      </c>
      <c r="I78" s="12">
        <f>IFERROR(H78/C78,"")</f>
        <v/>
      </c>
      <c r="J78" s="16">
        <f>IFERROR(H78/D78,"")</f>
        <v/>
      </c>
      <c r="K78" s="12">
        <f>H78-D78</f>
        <v/>
      </c>
      <c r="L78" s="26" t="inlineStr"/>
    </row>
    <row r="79">
      <c r="A79" s="10" t="inlineStr">
        <is>
          <t xml:space="preserve">    OnlyTraffic</t>
        </is>
      </c>
      <c r="B79" s="11">
        <f>SUMIFS(Data!$D:$D,Data!$A:$A,$A74,Data!$C:$C,"OnlyTraffic",Data!$B:$B,IF($F$2="All","*",$F$2))</f>
        <v/>
      </c>
      <c r="C79" s="11">
        <f>SUMIFS(Data!$E:$E,Data!$A:$A,$A74,Data!$C:$C,"OnlyTraffic",Data!$B:$B,IF($F$2="All","*",$F$2))</f>
        <v/>
      </c>
      <c r="D79" s="15">
        <f>SUMIFS(Data!$F:$F,Data!$A:$A,$A74,Data!$C:$C,"OnlyTraffic",Data!$B:$B,IF($F$2="All","*",$F$2))</f>
        <v/>
      </c>
      <c r="E79" s="12">
        <f>IFERROR(D79/C79,"")</f>
        <v/>
      </c>
      <c r="F79" s="12">
        <f>IFERROR(D79/B79,"")</f>
        <v/>
      </c>
      <c r="G79" s="14">
        <f>IFERROR(C79/B79,"")</f>
        <v/>
      </c>
      <c r="H79" s="15">
        <f>SUMIFS(Data!$G:$G,Data!$A:$A,$A74,Data!$C:$C,"OnlyTraffic",Data!$B:$B,IF($F$2="All","*",$F$2))</f>
        <v/>
      </c>
      <c r="I79" s="12">
        <f>IFERROR(H79/C79,"")</f>
        <v/>
      </c>
      <c r="J79" s="16">
        <f>IFERROR(H79/D79,"")</f>
        <v/>
      </c>
      <c r="K79" s="12">
        <f>H79-D79</f>
        <v/>
      </c>
      <c r="L79" s="26" t="inlineStr"/>
    </row>
    <row r="80">
      <c r="A80" s="20">
        <f>$B$2+11</f>
        <v/>
      </c>
      <c r="B80" s="21">
        <f>SUMIFS(Data!$D:$D,Data!$A:$A,$A80,Data!$B:$B,IF($F$2="All","*",$F$2))</f>
        <v/>
      </c>
      <c r="C80" s="21">
        <f>SUMIFS(Data!$E:$E,Data!$A:$A,$A80,Data!$B:$B,IF($F$2="All","*",$F$2))</f>
        <v/>
      </c>
      <c r="D80" s="22">
        <f>SUMIFS(Data!$F:$F,Data!$A:$A,$A80,Data!$B:$B,IF($F$2="All","*",$F$2))</f>
        <v/>
      </c>
      <c r="E80" s="22">
        <f>IFERROR(D80/C80,"")</f>
        <v/>
      </c>
      <c r="F80" s="22">
        <f>IFERROR(D80/B80,"")</f>
        <v/>
      </c>
      <c r="G80" s="23">
        <f>IFERROR(C80/B80,"")</f>
        <v/>
      </c>
      <c r="H80" s="22">
        <f>SUMIFS(Data!$G:$G,Data!$A:$A,$A80,Data!$B:$B,IF($F$2="All","*",$F$2))</f>
        <v/>
      </c>
      <c r="I80" s="22">
        <f>IFERROR(H80/C80,"")</f>
        <v/>
      </c>
      <c r="J80" s="24">
        <f>IFERROR(H80/D80,"")</f>
        <v/>
      </c>
      <c r="K80" s="22">
        <f>H80-D80</f>
        <v/>
      </c>
      <c r="L80" s="25" t="inlineStr"/>
    </row>
    <row r="81">
      <c r="A81" s="10" t="inlineStr">
        <is>
          <t xml:space="preserve">    Meta</t>
        </is>
      </c>
      <c r="B81" s="11">
        <f>SUMIFS(Data!$D:$D,Data!$A:$A,$A80,Data!$C:$C,"Meta",Data!$B:$B,IF($F$2="All","*",$F$2))</f>
        <v/>
      </c>
      <c r="C81" s="11">
        <f>SUMIFS(Data!$E:$E,Data!$A:$A,$A80,Data!$C:$C,"Meta",Data!$B:$B,IF($F$2="All","*",$F$2))</f>
        <v/>
      </c>
      <c r="D81" s="15">
        <f>SUMIFS(Data!$F:$F,Data!$A:$A,$A80,Data!$C:$C,"Meta",Data!$B:$B,IF($F$2="All","*",$F$2))</f>
        <v/>
      </c>
      <c r="E81" s="12">
        <f>IFERROR(D81/C81,"")</f>
        <v/>
      </c>
      <c r="F81" s="12">
        <f>IFERROR(D81/B81,"")</f>
        <v/>
      </c>
      <c r="G81" s="14">
        <f>IFERROR(C81/B81,"")</f>
        <v/>
      </c>
      <c r="H81" s="15">
        <f>SUMIFS(Data!$G:$G,Data!$A:$A,$A80,Data!$C:$C,"Meta",Data!$B:$B,IF($F$2="All","*",$F$2))</f>
        <v/>
      </c>
      <c r="I81" s="12">
        <f>IFERROR(H81/C81,"")</f>
        <v/>
      </c>
      <c r="J81" s="16">
        <f>IFERROR(H81/D81,"")</f>
        <v/>
      </c>
      <c r="K81" s="12">
        <f>H81-D81</f>
        <v/>
      </c>
      <c r="L81" s="26" t="inlineStr"/>
    </row>
    <row r="82">
      <c r="A82" s="10" t="inlineStr">
        <is>
          <t xml:space="preserve">    OnlyFinder</t>
        </is>
      </c>
      <c r="B82" s="11">
        <f>SUMIFS(Data!$D:$D,Data!$A:$A,$A80,Data!$C:$C,"OnlyFinder",Data!$B:$B,IF($F$2="All","*",$F$2))</f>
        <v/>
      </c>
      <c r="C82" s="11">
        <f>SUMIFS(Data!$E:$E,Data!$A:$A,$A80,Data!$C:$C,"OnlyFinder",Data!$B:$B,IF($F$2="All","*",$F$2))</f>
        <v/>
      </c>
      <c r="D82" s="15">
        <f>SUMIFS(Data!$F:$F,Data!$A:$A,$A80,Data!$C:$C,"OnlyFinder",Data!$B:$B,IF($F$2="All","*",$F$2))</f>
        <v/>
      </c>
      <c r="E82" s="12">
        <f>IFERROR(D82/C82,"")</f>
        <v/>
      </c>
      <c r="F82" s="12">
        <f>IFERROR(D82/B82,"")</f>
        <v/>
      </c>
      <c r="G82" s="14">
        <f>IFERROR(C82/B82,"")</f>
        <v/>
      </c>
      <c r="H82" s="15">
        <f>SUMIFS(Data!$G:$G,Data!$A:$A,$A80,Data!$C:$C,"OnlyFinder",Data!$B:$B,IF($F$2="All","*",$F$2))</f>
        <v/>
      </c>
      <c r="I82" s="12">
        <f>IFERROR(H82/C82,"")</f>
        <v/>
      </c>
      <c r="J82" s="16">
        <f>IFERROR(H82/D82,"")</f>
        <v/>
      </c>
      <c r="K82" s="12">
        <f>H82-D82</f>
        <v/>
      </c>
      <c r="L82" s="26" t="inlineStr"/>
    </row>
    <row r="83">
      <c r="A83" s="10" t="inlineStr">
        <is>
          <t xml:space="preserve">    OnlyGuider</t>
        </is>
      </c>
      <c r="B83" s="11">
        <f>SUMIFS(Data!$D:$D,Data!$A:$A,$A80,Data!$C:$C,"OnlyGuider",Data!$B:$B,IF($F$2="All","*",$F$2))</f>
        <v/>
      </c>
      <c r="C83" s="11">
        <f>SUMIFS(Data!$E:$E,Data!$A:$A,$A80,Data!$C:$C,"OnlyGuider",Data!$B:$B,IF($F$2="All","*",$F$2))</f>
        <v/>
      </c>
      <c r="D83" s="15">
        <f>SUMIFS(Data!$F:$F,Data!$A:$A,$A80,Data!$C:$C,"OnlyGuider",Data!$B:$B,IF($F$2="All","*",$F$2))</f>
        <v/>
      </c>
      <c r="E83" s="12">
        <f>IFERROR(D83/C83,"")</f>
        <v/>
      </c>
      <c r="F83" s="12">
        <f>IFERROR(D83/B83,"")</f>
        <v/>
      </c>
      <c r="G83" s="14">
        <f>IFERROR(C83/B83,"")</f>
        <v/>
      </c>
      <c r="H83" s="15">
        <f>SUMIFS(Data!$G:$G,Data!$A:$A,$A80,Data!$C:$C,"OnlyGuider",Data!$B:$B,IF($F$2="All","*",$F$2))</f>
        <v/>
      </c>
      <c r="I83" s="12">
        <f>IFERROR(H83/C83,"")</f>
        <v/>
      </c>
      <c r="J83" s="16">
        <f>IFERROR(H83/D83,"")</f>
        <v/>
      </c>
      <c r="K83" s="12">
        <f>H83-D83</f>
        <v/>
      </c>
      <c r="L83" s="26" t="inlineStr"/>
    </row>
    <row r="84">
      <c r="A84" s="10" t="inlineStr">
        <is>
          <t xml:space="preserve">    OnlySeeker</t>
        </is>
      </c>
      <c r="B84" s="11">
        <f>SUMIFS(Data!$D:$D,Data!$A:$A,$A80,Data!$C:$C,"OnlySeeker",Data!$B:$B,IF($F$2="All","*",$F$2))</f>
        <v/>
      </c>
      <c r="C84" s="11">
        <f>SUMIFS(Data!$E:$E,Data!$A:$A,$A80,Data!$C:$C,"OnlySeeker",Data!$B:$B,IF($F$2="All","*",$F$2))</f>
        <v/>
      </c>
      <c r="D84" s="15">
        <f>SUMIFS(Data!$F:$F,Data!$A:$A,$A80,Data!$C:$C,"OnlySeeker",Data!$B:$B,IF($F$2="All","*",$F$2))</f>
        <v/>
      </c>
      <c r="E84" s="12">
        <f>IFERROR(D84/C84,"")</f>
        <v/>
      </c>
      <c r="F84" s="12">
        <f>IFERROR(D84/B84,"")</f>
        <v/>
      </c>
      <c r="G84" s="14">
        <f>IFERROR(C84/B84,"")</f>
        <v/>
      </c>
      <c r="H84" s="15">
        <f>SUMIFS(Data!$G:$G,Data!$A:$A,$A80,Data!$C:$C,"OnlySeeker",Data!$B:$B,IF($F$2="All","*",$F$2))</f>
        <v/>
      </c>
      <c r="I84" s="12">
        <f>IFERROR(H84/C84,"")</f>
        <v/>
      </c>
      <c r="J84" s="16">
        <f>IFERROR(H84/D84,"")</f>
        <v/>
      </c>
      <c r="K84" s="12">
        <f>H84-D84</f>
        <v/>
      </c>
      <c r="L84" s="26" t="inlineStr"/>
    </row>
    <row r="85">
      <c r="A85" s="10" t="inlineStr">
        <is>
          <t xml:space="preserve">    OnlyTraffic</t>
        </is>
      </c>
      <c r="B85" s="11">
        <f>SUMIFS(Data!$D:$D,Data!$A:$A,$A80,Data!$C:$C,"OnlyTraffic",Data!$B:$B,IF($F$2="All","*",$F$2))</f>
        <v/>
      </c>
      <c r="C85" s="11">
        <f>SUMIFS(Data!$E:$E,Data!$A:$A,$A80,Data!$C:$C,"OnlyTraffic",Data!$B:$B,IF($F$2="All","*",$F$2))</f>
        <v/>
      </c>
      <c r="D85" s="15">
        <f>SUMIFS(Data!$F:$F,Data!$A:$A,$A80,Data!$C:$C,"OnlyTraffic",Data!$B:$B,IF($F$2="All","*",$F$2))</f>
        <v/>
      </c>
      <c r="E85" s="12">
        <f>IFERROR(D85/C85,"")</f>
        <v/>
      </c>
      <c r="F85" s="12">
        <f>IFERROR(D85/B85,"")</f>
        <v/>
      </c>
      <c r="G85" s="14">
        <f>IFERROR(C85/B85,"")</f>
        <v/>
      </c>
      <c r="H85" s="15">
        <f>SUMIFS(Data!$G:$G,Data!$A:$A,$A80,Data!$C:$C,"OnlyTraffic",Data!$B:$B,IF($F$2="All","*",$F$2))</f>
        <v/>
      </c>
      <c r="I85" s="12">
        <f>IFERROR(H85/C85,"")</f>
        <v/>
      </c>
      <c r="J85" s="16">
        <f>IFERROR(H85/D85,"")</f>
        <v/>
      </c>
      <c r="K85" s="12">
        <f>H85-D85</f>
        <v/>
      </c>
      <c r="L85" s="26" t="inlineStr"/>
    </row>
    <row r="86">
      <c r="A86" s="20">
        <f>$B$2+12</f>
        <v/>
      </c>
      <c r="B86" s="21">
        <f>SUMIFS(Data!$D:$D,Data!$A:$A,$A86,Data!$B:$B,IF($F$2="All","*",$F$2))</f>
        <v/>
      </c>
      <c r="C86" s="21">
        <f>SUMIFS(Data!$E:$E,Data!$A:$A,$A86,Data!$B:$B,IF($F$2="All","*",$F$2))</f>
        <v/>
      </c>
      <c r="D86" s="22">
        <f>SUMIFS(Data!$F:$F,Data!$A:$A,$A86,Data!$B:$B,IF($F$2="All","*",$F$2))</f>
        <v/>
      </c>
      <c r="E86" s="22">
        <f>IFERROR(D86/C86,"")</f>
        <v/>
      </c>
      <c r="F86" s="22">
        <f>IFERROR(D86/B86,"")</f>
        <v/>
      </c>
      <c r="G86" s="23">
        <f>IFERROR(C86/B86,"")</f>
        <v/>
      </c>
      <c r="H86" s="22">
        <f>SUMIFS(Data!$G:$G,Data!$A:$A,$A86,Data!$B:$B,IF($F$2="All","*",$F$2))</f>
        <v/>
      </c>
      <c r="I86" s="22">
        <f>IFERROR(H86/C86,"")</f>
        <v/>
      </c>
      <c r="J86" s="24">
        <f>IFERROR(H86/D86,"")</f>
        <v/>
      </c>
      <c r="K86" s="22">
        <f>H86-D86</f>
        <v/>
      </c>
      <c r="L86" s="25" t="inlineStr"/>
    </row>
    <row r="87">
      <c r="A87" s="10" t="inlineStr">
        <is>
          <t xml:space="preserve">    Meta</t>
        </is>
      </c>
      <c r="B87" s="11">
        <f>SUMIFS(Data!$D:$D,Data!$A:$A,$A86,Data!$C:$C,"Meta",Data!$B:$B,IF($F$2="All","*",$F$2))</f>
        <v/>
      </c>
      <c r="C87" s="11">
        <f>SUMIFS(Data!$E:$E,Data!$A:$A,$A86,Data!$C:$C,"Meta",Data!$B:$B,IF($F$2="All","*",$F$2))</f>
        <v/>
      </c>
      <c r="D87" s="15">
        <f>SUMIFS(Data!$F:$F,Data!$A:$A,$A86,Data!$C:$C,"Meta",Data!$B:$B,IF($F$2="All","*",$F$2))</f>
        <v/>
      </c>
      <c r="E87" s="12">
        <f>IFERROR(D87/C87,"")</f>
        <v/>
      </c>
      <c r="F87" s="12">
        <f>IFERROR(D87/B87,"")</f>
        <v/>
      </c>
      <c r="G87" s="14">
        <f>IFERROR(C87/B87,"")</f>
        <v/>
      </c>
      <c r="H87" s="15">
        <f>SUMIFS(Data!$G:$G,Data!$A:$A,$A86,Data!$C:$C,"Meta",Data!$B:$B,IF($F$2="All","*",$F$2))</f>
        <v/>
      </c>
      <c r="I87" s="12">
        <f>IFERROR(H87/C87,"")</f>
        <v/>
      </c>
      <c r="J87" s="16">
        <f>IFERROR(H87/D87,"")</f>
        <v/>
      </c>
      <c r="K87" s="12">
        <f>H87-D87</f>
        <v/>
      </c>
      <c r="L87" s="26" t="inlineStr"/>
    </row>
    <row r="88">
      <c r="A88" s="10" t="inlineStr">
        <is>
          <t xml:space="preserve">    OnlyFinder</t>
        </is>
      </c>
      <c r="B88" s="11">
        <f>SUMIFS(Data!$D:$D,Data!$A:$A,$A86,Data!$C:$C,"OnlyFinder",Data!$B:$B,IF($F$2="All","*",$F$2))</f>
        <v/>
      </c>
      <c r="C88" s="11">
        <f>SUMIFS(Data!$E:$E,Data!$A:$A,$A86,Data!$C:$C,"OnlyFinder",Data!$B:$B,IF($F$2="All","*",$F$2))</f>
        <v/>
      </c>
      <c r="D88" s="15">
        <f>SUMIFS(Data!$F:$F,Data!$A:$A,$A86,Data!$C:$C,"OnlyFinder",Data!$B:$B,IF($F$2="All","*",$F$2))</f>
        <v/>
      </c>
      <c r="E88" s="12">
        <f>IFERROR(D88/C88,"")</f>
        <v/>
      </c>
      <c r="F88" s="12">
        <f>IFERROR(D88/B88,"")</f>
        <v/>
      </c>
      <c r="G88" s="14">
        <f>IFERROR(C88/B88,"")</f>
        <v/>
      </c>
      <c r="H88" s="15">
        <f>SUMIFS(Data!$G:$G,Data!$A:$A,$A86,Data!$C:$C,"OnlyFinder",Data!$B:$B,IF($F$2="All","*",$F$2))</f>
        <v/>
      </c>
      <c r="I88" s="12">
        <f>IFERROR(H88/C88,"")</f>
        <v/>
      </c>
      <c r="J88" s="16">
        <f>IFERROR(H88/D88,"")</f>
        <v/>
      </c>
      <c r="K88" s="12">
        <f>H88-D88</f>
        <v/>
      </c>
      <c r="L88" s="26" t="inlineStr"/>
    </row>
    <row r="89">
      <c r="A89" s="10" t="inlineStr">
        <is>
          <t xml:space="preserve">    OnlyGuider</t>
        </is>
      </c>
      <c r="B89" s="11">
        <f>SUMIFS(Data!$D:$D,Data!$A:$A,$A86,Data!$C:$C,"OnlyGuider",Data!$B:$B,IF($F$2="All","*",$F$2))</f>
        <v/>
      </c>
      <c r="C89" s="11">
        <f>SUMIFS(Data!$E:$E,Data!$A:$A,$A86,Data!$C:$C,"OnlyGuider",Data!$B:$B,IF($F$2="All","*",$F$2))</f>
        <v/>
      </c>
      <c r="D89" s="15">
        <f>SUMIFS(Data!$F:$F,Data!$A:$A,$A86,Data!$C:$C,"OnlyGuider",Data!$B:$B,IF($F$2="All","*",$F$2))</f>
        <v/>
      </c>
      <c r="E89" s="12">
        <f>IFERROR(D89/C89,"")</f>
        <v/>
      </c>
      <c r="F89" s="12">
        <f>IFERROR(D89/B89,"")</f>
        <v/>
      </c>
      <c r="G89" s="14">
        <f>IFERROR(C89/B89,"")</f>
        <v/>
      </c>
      <c r="H89" s="15">
        <f>SUMIFS(Data!$G:$G,Data!$A:$A,$A86,Data!$C:$C,"OnlyGuider",Data!$B:$B,IF($F$2="All","*",$F$2))</f>
        <v/>
      </c>
      <c r="I89" s="12">
        <f>IFERROR(H89/C89,"")</f>
        <v/>
      </c>
      <c r="J89" s="16">
        <f>IFERROR(H89/D89,"")</f>
        <v/>
      </c>
      <c r="K89" s="12">
        <f>H89-D89</f>
        <v/>
      </c>
      <c r="L89" s="26" t="inlineStr"/>
    </row>
    <row r="90">
      <c r="A90" s="10" t="inlineStr">
        <is>
          <t xml:space="preserve">    OnlySeeker</t>
        </is>
      </c>
      <c r="B90" s="11">
        <f>SUMIFS(Data!$D:$D,Data!$A:$A,$A86,Data!$C:$C,"OnlySeeker",Data!$B:$B,IF($F$2="All","*",$F$2))</f>
        <v/>
      </c>
      <c r="C90" s="11">
        <f>SUMIFS(Data!$E:$E,Data!$A:$A,$A86,Data!$C:$C,"OnlySeeker",Data!$B:$B,IF($F$2="All","*",$F$2))</f>
        <v/>
      </c>
      <c r="D90" s="15">
        <f>SUMIFS(Data!$F:$F,Data!$A:$A,$A86,Data!$C:$C,"OnlySeeker",Data!$B:$B,IF($F$2="All","*",$F$2))</f>
        <v/>
      </c>
      <c r="E90" s="12">
        <f>IFERROR(D90/C90,"")</f>
        <v/>
      </c>
      <c r="F90" s="12">
        <f>IFERROR(D90/B90,"")</f>
        <v/>
      </c>
      <c r="G90" s="14">
        <f>IFERROR(C90/B90,"")</f>
        <v/>
      </c>
      <c r="H90" s="15">
        <f>SUMIFS(Data!$G:$G,Data!$A:$A,$A86,Data!$C:$C,"OnlySeeker",Data!$B:$B,IF($F$2="All","*",$F$2))</f>
        <v/>
      </c>
      <c r="I90" s="12">
        <f>IFERROR(H90/C90,"")</f>
        <v/>
      </c>
      <c r="J90" s="16">
        <f>IFERROR(H90/D90,"")</f>
        <v/>
      </c>
      <c r="K90" s="12">
        <f>H90-D90</f>
        <v/>
      </c>
      <c r="L90" s="26" t="inlineStr"/>
    </row>
    <row r="91">
      <c r="A91" s="10" t="inlineStr">
        <is>
          <t xml:space="preserve">    OnlyTraffic</t>
        </is>
      </c>
      <c r="B91" s="11">
        <f>SUMIFS(Data!$D:$D,Data!$A:$A,$A86,Data!$C:$C,"OnlyTraffic",Data!$B:$B,IF($F$2="All","*",$F$2))</f>
        <v/>
      </c>
      <c r="C91" s="11">
        <f>SUMIFS(Data!$E:$E,Data!$A:$A,$A86,Data!$C:$C,"OnlyTraffic",Data!$B:$B,IF($F$2="All","*",$F$2))</f>
        <v/>
      </c>
      <c r="D91" s="15">
        <f>SUMIFS(Data!$F:$F,Data!$A:$A,$A86,Data!$C:$C,"OnlyTraffic",Data!$B:$B,IF($F$2="All","*",$F$2))</f>
        <v/>
      </c>
      <c r="E91" s="12">
        <f>IFERROR(D91/C91,"")</f>
        <v/>
      </c>
      <c r="F91" s="12">
        <f>IFERROR(D91/B91,"")</f>
        <v/>
      </c>
      <c r="G91" s="14">
        <f>IFERROR(C91/B91,"")</f>
        <v/>
      </c>
      <c r="H91" s="15">
        <f>SUMIFS(Data!$G:$G,Data!$A:$A,$A86,Data!$C:$C,"OnlyTraffic",Data!$B:$B,IF($F$2="All","*",$F$2))</f>
        <v/>
      </c>
      <c r="I91" s="12">
        <f>IFERROR(H91/C91,"")</f>
        <v/>
      </c>
      <c r="J91" s="16">
        <f>IFERROR(H91/D91,"")</f>
        <v/>
      </c>
      <c r="K91" s="12">
        <f>H91-D91</f>
        <v/>
      </c>
      <c r="L91" s="26" t="inlineStr"/>
    </row>
    <row r="92">
      <c r="A92" s="20">
        <f>$B$2+13</f>
        <v/>
      </c>
      <c r="B92" s="21">
        <f>SUMIFS(Data!$D:$D,Data!$A:$A,$A92,Data!$B:$B,IF($F$2="All","*",$F$2))</f>
        <v/>
      </c>
      <c r="C92" s="21">
        <f>SUMIFS(Data!$E:$E,Data!$A:$A,$A92,Data!$B:$B,IF($F$2="All","*",$F$2))</f>
        <v/>
      </c>
      <c r="D92" s="22">
        <f>SUMIFS(Data!$F:$F,Data!$A:$A,$A92,Data!$B:$B,IF($F$2="All","*",$F$2))</f>
        <v/>
      </c>
      <c r="E92" s="22">
        <f>IFERROR(D92/C92,"")</f>
        <v/>
      </c>
      <c r="F92" s="22">
        <f>IFERROR(D92/B92,"")</f>
        <v/>
      </c>
      <c r="G92" s="23">
        <f>IFERROR(C92/B92,"")</f>
        <v/>
      </c>
      <c r="H92" s="22">
        <f>SUMIFS(Data!$G:$G,Data!$A:$A,$A92,Data!$B:$B,IF($F$2="All","*",$F$2))</f>
        <v/>
      </c>
      <c r="I92" s="22">
        <f>IFERROR(H92/C92,"")</f>
        <v/>
      </c>
      <c r="J92" s="24">
        <f>IFERROR(H92/D92,"")</f>
        <v/>
      </c>
      <c r="K92" s="22">
        <f>H92-D92</f>
        <v/>
      </c>
      <c r="L92" s="25" t="inlineStr"/>
    </row>
    <row r="93">
      <c r="A93" s="10" t="inlineStr">
        <is>
          <t xml:space="preserve">    Meta</t>
        </is>
      </c>
      <c r="B93" s="11">
        <f>SUMIFS(Data!$D:$D,Data!$A:$A,$A92,Data!$C:$C,"Meta",Data!$B:$B,IF($F$2="All","*",$F$2))</f>
        <v/>
      </c>
      <c r="C93" s="11">
        <f>SUMIFS(Data!$E:$E,Data!$A:$A,$A92,Data!$C:$C,"Meta",Data!$B:$B,IF($F$2="All","*",$F$2))</f>
        <v/>
      </c>
      <c r="D93" s="15">
        <f>SUMIFS(Data!$F:$F,Data!$A:$A,$A92,Data!$C:$C,"Meta",Data!$B:$B,IF($F$2="All","*",$F$2))</f>
        <v/>
      </c>
      <c r="E93" s="12">
        <f>IFERROR(D93/C93,"")</f>
        <v/>
      </c>
      <c r="F93" s="12">
        <f>IFERROR(D93/B93,"")</f>
        <v/>
      </c>
      <c r="G93" s="14">
        <f>IFERROR(C93/B93,"")</f>
        <v/>
      </c>
      <c r="H93" s="15">
        <f>SUMIFS(Data!$G:$G,Data!$A:$A,$A92,Data!$C:$C,"Meta",Data!$B:$B,IF($F$2="All","*",$F$2))</f>
        <v/>
      </c>
      <c r="I93" s="12">
        <f>IFERROR(H93/C93,"")</f>
        <v/>
      </c>
      <c r="J93" s="16">
        <f>IFERROR(H93/D93,"")</f>
        <v/>
      </c>
      <c r="K93" s="12">
        <f>H93-D93</f>
        <v/>
      </c>
      <c r="L93" s="26" t="inlineStr"/>
    </row>
    <row r="94">
      <c r="A94" s="10" t="inlineStr">
        <is>
          <t xml:space="preserve">    OnlyFinder</t>
        </is>
      </c>
      <c r="B94" s="11">
        <f>SUMIFS(Data!$D:$D,Data!$A:$A,$A92,Data!$C:$C,"OnlyFinder",Data!$B:$B,IF($F$2="All","*",$F$2))</f>
        <v/>
      </c>
      <c r="C94" s="11">
        <f>SUMIFS(Data!$E:$E,Data!$A:$A,$A92,Data!$C:$C,"OnlyFinder",Data!$B:$B,IF($F$2="All","*",$F$2))</f>
        <v/>
      </c>
      <c r="D94" s="15">
        <f>SUMIFS(Data!$F:$F,Data!$A:$A,$A92,Data!$C:$C,"OnlyFinder",Data!$B:$B,IF($F$2="All","*",$F$2))</f>
        <v/>
      </c>
      <c r="E94" s="12">
        <f>IFERROR(D94/C94,"")</f>
        <v/>
      </c>
      <c r="F94" s="12">
        <f>IFERROR(D94/B94,"")</f>
        <v/>
      </c>
      <c r="G94" s="14">
        <f>IFERROR(C94/B94,"")</f>
        <v/>
      </c>
      <c r="H94" s="15">
        <f>SUMIFS(Data!$G:$G,Data!$A:$A,$A92,Data!$C:$C,"OnlyFinder",Data!$B:$B,IF($F$2="All","*",$F$2))</f>
        <v/>
      </c>
      <c r="I94" s="12">
        <f>IFERROR(H94/C94,"")</f>
        <v/>
      </c>
      <c r="J94" s="16">
        <f>IFERROR(H94/D94,"")</f>
        <v/>
      </c>
      <c r="K94" s="12">
        <f>H94-D94</f>
        <v/>
      </c>
      <c r="L94" s="26" t="inlineStr"/>
    </row>
    <row r="95">
      <c r="A95" s="10" t="inlineStr">
        <is>
          <t xml:space="preserve">    OnlyGuider</t>
        </is>
      </c>
      <c r="B95" s="11">
        <f>SUMIFS(Data!$D:$D,Data!$A:$A,$A92,Data!$C:$C,"OnlyGuider",Data!$B:$B,IF($F$2="All","*",$F$2))</f>
        <v/>
      </c>
      <c r="C95" s="11">
        <f>SUMIFS(Data!$E:$E,Data!$A:$A,$A92,Data!$C:$C,"OnlyGuider",Data!$B:$B,IF($F$2="All","*",$F$2))</f>
        <v/>
      </c>
      <c r="D95" s="15">
        <f>SUMIFS(Data!$F:$F,Data!$A:$A,$A92,Data!$C:$C,"OnlyGuider",Data!$B:$B,IF($F$2="All","*",$F$2))</f>
        <v/>
      </c>
      <c r="E95" s="12">
        <f>IFERROR(D95/C95,"")</f>
        <v/>
      </c>
      <c r="F95" s="12">
        <f>IFERROR(D95/B95,"")</f>
        <v/>
      </c>
      <c r="G95" s="14">
        <f>IFERROR(C95/B95,"")</f>
        <v/>
      </c>
      <c r="H95" s="15">
        <f>SUMIFS(Data!$G:$G,Data!$A:$A,$A92,Data!$C:$C,"OnlyGuider",Data!$B:$B,IF($F$2="All","*",$F$2))</f>
        <v/>
      </c>
      <c r="I95" s="12">
        <f>IFERROR(H95/C95,"")</f>
        <v/>
      </c>
      <c r="J95" s="16">
        <f>IFERROR(H95/D95,"")</f>
        <v/>
      </c>
      <c r="K95" s="12">
        <f>H95-D95</f>
        <v/>
      </c>
      <c r="L95" s="26" t="inlineStr"/>
    </row>
    <row r="96">
      <c r="A96" s="10" t="inlineStr">
        <is>
          <t xml:space="preserve">    OnlySeeker</t>
        </is>
      </c>
      <c r="B96" s="11">
        <f>SUMIFS(Data!$D:$D,Data!$A:$A,$A92,Data!$C:$C,"OnlySeeker",Data!$B:$B,IF($F$2="All","*",$F$2))</f>
        <v/>
      </c>
      <c r="C96" s="11">
        <f>SUMIFS(Data!$E:$E,Data!$A:$A,$A92,Data!$C:$C,"OnlySeeker",Data!$B:$B,IF($F$2="All","*",$F$2))</f>
        <v/>
      </c>
      <c r="D96" s="15">
        <f>SUMIFS(Data!$F:$F,Data!$A:$A,$A92,Data!$C:$C,"OnlySeeker",Data!$B:$B,IF($F$2="All","*",$F$2))</f>
        <v/>
      </c>
      <c r="E96" s="12">
        <f>IFERROR(D96/C96,"")</f>
        <v/>
      </c>
      <c r="F96" s="12">
        <f>IFERROR(D96/B96,"")</f>
        <v/>
      </c>
      <c r="G96" s="14">
        <f>IFERROR(C96/B96,"")</f>
        <v/>
      </c>
      <c r="H96" s="15">
        <f>SUMIFS(Data!$G:$G,Data!$A:$A,$A92,Data!$C:$C,"OnlySeeker",Data!$B:$B,IF($F$2="All","*",$F$2))</f>
        <v/>
      </c>
      <c r="I96" s="12">
        <f>IFERROR(H96/C96,"")</f>
        <v/>
      </c>
      <c r="J96" s="16">
        <f>IFERROR(H96/D96,"")</f>
        <v/>
      </c>
      <c r="K96" s="12">
        <f>H96-D96</f>
        <v/>
      </c>
      <c r="L96" s="26" t="inlineStr"/>
    </row>
    <row r="97">
      <c r="A97" s="10" t="inlineStr">
        <is>
          <t xml:space="preserve">    OnlyTraffic</t>
        </is>
      </c>
      <c r="B97" s="11">
        <f>SUMIFS(Data!$D:$D,Data!$A:$A,$A92,Data!$C:$C,"OnlyTraffic",Data!$B:$B,IF($F$2="All","*",$F$2))</f>
        <v/>
      </c>
      <c r="C97" s="11">
        <f>SUMIFS(Data!$E:$E,Data!$A:$A,$A92,Data!$C:$C,"OnlyTraffic",Data!$B:$B,IF($F$2="All","*",$F$2))</f>
        <v/>
      </c>
      <c r="D97" s="15">
        <f>SUMIFS(Data!$F:$F,Data!$A:$A,$A92,Data!$C:$C,"OnlyTraffic",Data!$B:$B,IF($F$2="All","*",$F$2))</f>
        <v/>
      </c>
      <c r="E97" s="12">
        <f>IFERROR(D97/C97,"")</f>
        <v/>
      </c>
      <c r="F97" s="12">
        <f>IFERROR(D97/B97,"")</f>
        <v/>
      </c>
      <c r="G97" s="14">
        <f>IFERROR(C97/B97,"")</f>
        <v/>
      </c>
      <c r="H97" s="15">
        <f>SUMIFS(Data!$G:$G,Data!$A:$A,$A92,Data!$C:$C,"OnlyTraffic",Data!$B:$B,IF($F$2="All","*",$F$2))</f>
        <v/>
      </c>
      <c r="I97" s="12">
        <f>IFERROR(H97/C97,"")</f>
        <v/>
      </c>
      <c r="J97" s="16">
        <f>IFERROR(H97/D97,"")</f>
        <v/>
      </c>
      <c r="K97" s="12">
        <f>H97-D97</f>
        <v/>
      </c>
      <c r="L97" s="26" t="inlineStr"/>
    </row>
  </sheetData>
  <mergeCells count="2">
    <mergeCell ref="A12:L12"/>
    <mergeCell ref="A1:N1"/>
  </mergeCells>
  <conditionalFormatting sqref="G5:G10">
    <cfRule type="cellIs" priority="1" operator="greaterThanOrEqual" dxfId="0">
      <formula>0.25</formula>
    </cfRule>
    <cfRule type="cellIs" priority="2" operator="lessThan" dxfId="1">
      <formula>0.25</formula>
    </cfRule>
  </conditionalFormatting>
  <conditionalFormatting sqref="F5:F10">
    <cfRule type="cellIs" priority="3" operator="greaterThan" dxfId="2">
      <formula>0.7</formula>
    </cfRule>
  </conditionalFormatting>
  <conditionalFormatting sqref="I5:I10">
    <cfRule type="cellIs" priority="4" operator="greaterThanOrEqual" dxfId="3" stopIfTrue="1">
      <formula>4</formula>
    </cfRule>
    <cfRule type="cellIs" priority="5" operator="greaterThanOrEqual" dxfId="4" stopIfTrue="1">
      <formula>3</formula>
    </cfRule>
    <cfRule type="cellIs" priority="6" operator="lessThan" dxfId="2" stopIfTrue="1">
      <formula>3</formula>
    </cfRule>
  </conditionalFormatting>
  <conditionalFormatting sqref="J5:J10">
    <cfRule type="cellIs" priority="7" operator="greaterThanOrEqual" dxfId="3" stopIfTrue="1">
      <formula>6</formula>
    </cfRule>
    <cfRule type="cellIs" priority="8" operator="greaterThanOrEqual" dxfId="4" stopIfTrue="1">
      <formula>4</formula>
    </cfRule>
    <cfRule type="cellIs" priority="9" operator="lessThan" dxfId="2" stopIfTrue="1">
      <formula>4</formula>
    </cfRule>
  </conditionalFormatting>
  <conditionalFormatting sqref="K5:K10">
    <cfRule type="cellIs" priority="10" operator="greaterThanOrEqual" dxfId="3" stopIfTrue="1">
      <formula>8</formula>
    </cfRule>
    <cfRule type="cellIs" priority="11" operator="greaterThanOrEqual" dxfId="4" stopIfTrue="1">
      <formula>6</formula>
    </cfRule>
    <cfRule type="cellIs" priority="12" operator="lessThan" dxfId="2" stopIfTrue="1">
      <formula>6</formula>
    </cfRule>
  </conditionalFormatting>
  <conditionalFormatting sqref="L5:L10">
    <cfRule type="cellIs" priority="13" operator="greaterThanOrEqual" dxfId="3" stopIfTrue="1">
      <formula>14</formula>
    </cfRule>
    <cfRule type="cellIs" priority="14" operator="greaterThanOrEqual" dxfId="4" stopIfTrue="1">
      <formula>10</formula>
    </cfRule>
    <cfRule type="cellIs" priority="15" operator="lessThan" dxfId="2" stopIfTrue="1">
      <formula>10</formula>
    </cfRule>
  </conditionalFormatting>
  <conditionalFormatting sqref="G14:G97">
    <cfRule type="cellIs" priority="16" operator="greaterThanOrEqual" dxfId="0">
      <formula>0.25</formula>
    </cfRule>
    <cfRule type="cellIs" priority="17" operator="lessThan" dxfId="1">
      <formula>0.25</formula>
    </cfRule>
  </conditionalFormatting>
  <conditionalFormatting sqref="F14:F97">
    <cfRule type="cellIs" priority="18" operator="greaterThan" dxfId="2">
      <formula>0.7</formula>
    </cfRule>
  </conditionalFormatting>
  <conditionalFormatting sqref="I14:I97">
    <cfRule type="cellIs" priority="19" operator="greaterThanOrEqual" dxfId="3" stopIfTrue="1">
      <formula>4</formula>
    </cfRule>
    <cfRule type="cellIs" priority="20" operator="greaterThanOrEqual" dxfId="4" stopIfTrue="1">
      <formula>3</formula>
    </cfRule>
    <cfRule type="cellIs" priority="21" operator="lessThan" dxfId="2" stopIfTrue="1">
      <formula>3</formula>
    </cfRule>
  </conditionalFormatting>
  <dataValidations count="1">
    <dataValidation sqref="F2" showDropDown="0" showInputMessage="0" showErrorMessage="0" allowBlank="0" type="list">
      <formula1>"All,Rose white,Ella,Antonella,June - Sandra,Marissa munoz"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</cols>
  <sheetData>
    <row r="1" ht="24" customHeight="1">
      <c r="A1" s="27" t="inlineStr">
        <is>
          <t>UNCVRD — TIME TO PROFIT  /  BREAK-EVEN  (per platform · lifetime value of the fans each platform brought)</t>
        </is>
      </c>
    </row>
    <row r="2">
      <c r="A2" s="2" t="inlineStr">
        <is>
          <t>Creator ▸</t>
        </is>
      </c>
      <c r="B2" s="4" t="inlineStr">
        <is>
          <t>All</t>
        </is>
      </c>
      <c r="D2" s="5" t="inlineStr">
        <is>
          <t>Set each platform's REAL Cost / Click in the yellow column (D) below — Meta, OnlyFinder etc. can each have their own rate →</t>
        </is>
      </c>
    </row>
    <row r="3">
      <c r="A3" s="8" t="inlineStr">
        <is>
          <t>ARPS = revenue each fan has spent by that age.  Profitable when ARPS All ≥ Cost / Sub.  Green margin = you make money.</t>
        </is>
      </c>
    </row>
    <row r="4">
      <c r="A4" s="9" t="inlineStr">
        <is>
          <t>Platform</t>
        </is>
      </c>
      <c r="B4" s="9" t="inlineStr">
        <is>
          <t>Subscribers</t>
        </is>
      </c>
      <c r="C4" s="9" t="inlineStr">
        <is>
          <t>Clicks</t>
        </is>
      </c>
      <c r="D4" s="9" t="inlineStr">
        <is>
          <t>Cost / Click</t>
        </is>
      </c>
      <c r="E4" s="9" t="inlineStr">
        <is>
          <t>Cost / Promo</t>
        </is>
      </c>
      <c r="F4" s="9" t="inlineStr">
        <is>
          <t>Cost / Sub</t>
        </is>
      </c>
      <c r="G4" s="9" t="inlineStr">
        <is>
          <t>ARPS 48h</t>
        </is>
      </c>
      <c r="H4" s="9" t="inlineStr">
        <is>
          <t>ARPS 7d</t>
        </is>
      </c>
      <c r="I4" s="9" t="inlineStr">
        <is>
          <t>ARPS 14d</t>
        </is>
      </c>
      <c r="J4" s="9" t="inlineStr">
        <is>
          <t>ARPS 30d</t>
        </is>
      </c>
      <c r="K4" s="9" t="inlineStr">
        <is>
          <t>ARPS All (Rev/Sub)</t>
        </is>
      </c>
      <c r="L4" s="9" t="inlineStr">
        <is>
          <t>Margin / Sub</t>
        </is>
      </c>
      <c r="M4" s="9" t="inlineStr">
        <is>
          <t>Break-even by</t>
        </is>
      </c>
    </row>
    <row r="5">
      <c r="A5" s="10" t="inlineStr">
        <is>
          <t>Meta</t>
        </is>
      </c>
      <c r="B5" s="11">
        <f>SUMIFS(Cohort!$C:$C,Cohort!$B:$B,"Meta",Cohort!$A:$A,IF($B$2="All","*",$B$2))</f>
        <v/>
      </c>
      <c r="C5" s="11">
        <f>SUMIFS(Cohort!$D:$D,Cohort!$B:$B,"Meta",Cohort!$A:$A,IF($B$2="All","*",$B$2))</f>
        <v/>
      </c>
      <c r="D5" s="13" t="n">
        <v>0.75</v>
      </c>
      <c r="E5" s="15">
        <f>D5*C5</f>
        <v/>
      </c>
      <c r="F5" s="12">
        <f>IFERROR(E5/B5,"")</f>
        <v/>
      </c>
      <c r="G5" s="12">
        <f>IFERROR((SUMIFS(Cohort!$E:$E,Cohort!$B:$B,"Meta",Cohort!$A:$A,IF($B$2="All","*",$B$2)))/B5,"")</f>
        <v/>
      </c>
      <c r="H5" s="12">
        <f>IFERROR((SUMIFS(Cohort!$F:$F,Cohort!$B:$B,"Meta",Cohort!$A:$A,IF($B$2="All","*",$B$2)))/B5,"")</f>
        <v/>
      </c>
      <c r="I5" s="12">
        <f>IFERROR((SUMIFS(Cohort!$G:$G,Cohort!$B:$B,"Meta",Cohort!$A:$A,IF($B$2="All","*",$B$2)))/B5,"")</f>
        <v/>
      </c>
      <c r="J5" s="12">
        <f>IFERROR((SUMIFS(Cohort!$I:$I,Cohort!$B:$B,"Meta",Cohort!$A:$A,IF($B$2="All","*",$B$2)))/B5,"")</f>
        <v/>
      </c>
      <c r="K5" s="12">
        <f>IFERROR((SUMIFS(Cohort!$J:$J,Cohort!$B:$B,"Meta",Cohort!$A:$A,IF($B$2="All","*",$B$2)))/B5,"")</f>
        <v/>
      </c>
      <c r="L5" s="12">
        <f>IFERROR(K5-F5,"")</f>
        <v/>
      </c>
      <c r="M5" s="28">
        <f>IF(B5=0,"",IF(G5&gt;=F5,"by 48h",IF(H5&gt;=F5,"by 7d",IF(I5&gt;=F5,"by 14d",IF(J5&gt;=F5,"by 30d",IF(K5&gt;=F5,"after 30d","not yet"))))))</f>
        <v/>
      </c>
    </row>
    <row r="6">
      <c r="A6" s="10" t="inlineStr">
        <is>
          <t>OnlyFinder</t>
        </is>
      </c>
      <c r="B6" s="11">
        <f>SUMIFS(Cohort!$C:$C,Cohort!$B:$B,"OnlyFinder",Cohort!$A:$A,IF($B$2="All","*",$B$2))</f>
        <v/>
      </c>
      <c r="C6" s="11">
        <f>SUMIFS(Cohort!$D:$D,Cohort!$B:$B,"OnlyFinder",Cohort!$A:$A,IF($B$2="All","*",$B$2))</f>
        <v/>
      </c>
      <c r="D6" s="13" t="n">
        <v>0.75</v>
      </c>
      <c r="E6" s="15">
        <f>D6*C6</f>
        <v/>
      </c>
      <c r="F6" s="12">
        <f>IFERROR(E6/B6,"")</f>
        <v/>
      </c>
      <c r="G6" s="12">
        <f>IFERROR((SUMIFS(Cohort!$E:$E,Cohort!$B:$B,"OnlyFinder",Cohort!$A:$A,IF($B$2="All","*",$B$2)))/B6,"")</f>
        <v/>
      </c>
      <c r="H6" s="12">
        <f>IFERROR((SUMIFS(Cohort!$F:$F,Cohort!$B:$B,"OnlyFinder",Cohort!$A:$A,IF($B$2="All","*",$B$2)))/B6,"")</f>
        <v/>
      </c>
      <c r="I6" s="12">
        <f>IFERROR((SUMIFS(Cohort!$G:$G,Cohort!$B:$B,"OnlyFinder",Cohort!$A:$A,IF($B$2="All","*",$B$2)))/B6,"")</f>
        <v/>
      </c>
      <c r="J6" s="12">
        <f>IFERROR((SUMIFS(Cohort!$I:$I,Cohort!$B:$B,"OnlyFinder",Cohort!$A:$A,IF($B$2="All","*",$B$2)))/B6,"")</f>
        <v/>
      </c>
      <c r="K6" s="12">
        <f>IFERROR((SUMIFS(Cohort!$J:$J,Cohort!$B:$B,"OnlyFinder",Cohort!$A:$A,IF($B$2="All","*",$B$2)))/B6,"")</f>
        <v/>
      </c>
      <c r="L6" s="12">
        <f>IFERROR(K6-F6,"")</f>
        <v/>
      </c>
      <c r="M6" s="28">
        <f>IF(B6=0,"",IF(G6&gt;=F6,"by 48h",IF(H6&gt;=F6,"by 7d",IF(I6&gt;=F6,"by 14d",IF(J6&gt;=F6,"by 30d",IF(K6&gt;=F6,"after 30d","not yet"))))))</f>
        <v/>
      </c>
    </row>
    <row r="7">
      <c r="A7" s="10" t="inlineStr">
        <is>
          <t>OnlyGuider</t>
        </is>
      </c>
      <c r="B7" s="11">
        <f>SUMIFS(Cohort!$C:$C,Cohort!$B:$B,"OnlyGuider",Cohort!$A:$A,IF($B$2="All","*",$B$2))</f>
        <v/>
      </c>
      <c r="C7" s="11">
        <f>SUMIFS(Cohort!$D:$D,Cohort!$B:$B,"OnlyGuider",Cohort!$A:$A,IF($B$2="All","*",$B$2))</f>
        <v/>
      </c>
      <c r="D7" s="13" t="n">
        <v>0.75</v>
      </c>
      <c r="E7" s="15">
        <f>D7*C7</f>
        <v/>
      </c>
      <c r="F7" s="12">
        <f>IFERROR(E7/B7,"")</f>
        <v/>
      </c>
      <c r="G7" s="12">
        <f>IFERROR((SUMIFS(Cohort!$E:$E,Cohort!$B:$B,"OnlyGuider",Cohort!$A:$A,IF($B$2="All","*",$B$2)))/B7,"")</f>
        <v/>
      </c>
      <c r="H7" s="12">
        <f>IFERROR((SUMIFS(Cohort!$F:$F,Cohort!$B:$B,"OnlyGuider",Cohort!$A:$A,IF($B$2="All","*",$B$2)))/B7,"")</f>
        <v/>
      </c>
      <c r="I7" s="12">
        <f>IFERROR((SUMIFS(Cohort!$G:$G,Cohort!$B:$B,"OnlyGuider",Cohort!$A:$A,IF($B$2="All","*",$B$2)))/B7,"")</f>
        <v/>
      </c>
      <c r="J7" s="12">
        <f>IFERROR((SUMIFS(Cohort!$I:$I,Cohort!$B:$B,"OnlyGuider",Cohort!$A:$A,IF($B$2="All","*",$B$2)))/B7,"")</f>
        <v/>
      </c>
      <c r="K7" s="12">
        <f>IFERROR((SUMIFS(Cohort!$J:$J,Cohort!$B:$B,"OnlyGuider",Cohort!$A:$A,IF($B$2="All","*",$B$2)))/B7,"")</f>
        <v/>
      </c>
      <c r="L7" s="12">
        <f>IFERROR(K7-F7,"")</f>
        <v/>
      </c>
      <c r="M7" s="28">
        <f>IF(B7=0,"",IF(G7&gt;=F7,"by 48h",IF(H7&gt;=F7,"by 7d",IF(I7&gt;=F7,"by 14d",IF(J7&gt;=F7,"by 30d",IF(K7&gt;=F7,"after 30d","not yet"))))))</f>
        <v/>
      </c>
    </row>
    <row r="8">
      <c r="A8" s="10" t="inlineStr">
        <is>
          <t>OnlySeeker</t>
        </is>
      </c>
      <c r="B8" s="11">
        <f>SUMIFS(Cohort!$C:$C,Cohort!$B:$B,"OnlySeeker",Cohort!$A:$A,IF($B$2="All","*",$B$2))</f>
        <v/>
      </c>
      <c r="C8" s="11">
        <f>SUMIFS(Cohort!$D:$D,Cohort!$B:$B,"OnlySeeker",Cohort!$A:$A,IF($B$2="All","*",$B$2))</f>
        <v/>
      </c>
      <c r="D8" s="13" t="n">
        <v>0.75</v>
      </c>
      <c r="E8" s="15">
        <f>D8*C8</f>
        <v/>
      </c>
      <c r="F8" s="12">
        <f>IFERROR(E8/B8,"")</f>
        <v/>
      </c>
      <c r="G8" s="12">
        <f>IFERROR((SUMIFS(Cohort!$E:$E,Cohort!$B:$B,"OnlySeeker",Cohort!$A:$A,IF($B$2="All","*",$B$2)))/B8,"")</f>
        <v/>
      </c>
      <c r="H8" s="12">
        <f>IFERROR((SUMIFS(Cohort!$F:$F,Cohort!$B:$B,"OnlySeeker",Cohort!$A:$A,IF($B$2="All","*",$B$2)))/B8,"")</f>
        <v/>
      </c>
      <c r="I8" s="12">
        <f>IFERROR((SUMIFS(Cohort!$G:$G,Cohort!$B:$B,"OnlySeeker",Cohort!$A:$A,IF($B$2="All","*",$B$2)))/B8,"")</f>
        <v/>
      </c>
      <c r="J8" s="12">
        <f>IFERROR((SUMIFS(Cohort!$I:$I,Cohort!$B:$B,"OnlySeeker",Cohort!$A:$A,IF($B$2="All","*",$B$2)))/B8,"")</f>
        <v/>
      </c>
      <c r="K8" s="12">
        <f>IFERROR((SUMIFS(Cohort!$J:$J,Cohort!$B:$B,"OnlySeeker",Cohort!$A:$A,IF($B$2="All","*",$B$2)))/B8,"")</f>
        <v/>
      </c>
      <c r="L8" s="12">
        <f>IFERROR(K8-F8,"")</f>
        <v/>
      </c>
      <c r="M8" s="28">
        <f>IF(B8=0,"",IF(G8&gt;=F8,"by 48h",IF(H8&gt;=F8,"by 7d",IF(I8&gt;=F8,"by 14d",IF(J8&gt;=F8,"by 30d",IF(K8&gt;=F8,"after 30d","not yet"))))))</f>
        <v/>
      </c>
    </row>
    <row r="9">
      <c r="A9" s="10" t="inlineStr">
        <is>
          <t>OnlyTraffic</t>
        </is>
      </c>
      <c r="B9" s="11">
        <f>SUMIFS(Cohort!$C:$C,Cohort!$B:$B,"OnlyTraffic",Cohort!$A:$A,IF($B$2="All","*",$B$2))</f>
        <v/>
      </c>
      <c r="C9" s="11">
        <f>SUMIFS(Cohort!$D:$D,Cohort!$B:$B,"OnlyTraffic",Cohort!$A:$A,IF($B$2="All","*",$B$2))</f>
        <v/>
      </c>
      <c r="D9" s="13" t="n">
        <v>0.75</v>
      </c>
      <c r="E9" s="15">
        <f>D9*C9</f>
        <v/>
      </c>
      <c r="F9" s="12">
        <f>IFERROR(E9/B9,"")</f>
        <v/>
      </c>
      <c r="G9" s="12">
        <f>IFERROR((SUMIFS(Cohort!$E:$E,Cohort!$B:$B,"OnlyTraffic",Cohort!$A:$A,IF($B$2="All","*",$B$2)))/B9,"")</f>
        <v/>
      </c>
      <c r="H9" s="12">
        <f>IFERROR((SUMIFS(Cohort!$F:$F,Cohort!$B:$B,"OnlyTraffic",Cohort!$A:$A,IF($B$2="All","*",$B$2)))/B9,"")</f>
        <v/>
      </c>
      <c r="I9" s="12">
        <f>IFERROR((SUMIFS(Cohort!$G:$G,Cohort!$B:$B,"OnlyTraffic",Cohort!$A:$A,IF($B$2="All","*",$B$2)))/B9,"")</f>
        <v/>
      </c>
      <c r="J9" s="12">
        <f>IFERROR((SUMIFS(Cohort!$I:$I,Cohort!$B:$B,"OnlyTraffic",Cohort!$A:$A,IF($B$2="All","*",$B$2)))/B9,"")</f>
        <v/>
      </c>
      <c r="K9" s="12">
        <f>IFERROR((SUMIFS(Cohort!$J:$J,Cohort!$B:$B,"OnlyTraffic",Cohort!$A:$A,IF($B$2="All","*",$B$2)))/B9,"")</f>
        <v/>
      </c>
      <c r="L9" s="12">
        <f>IFERROR(K9-F9,"")</f>
        <v/>
      </c>
      <c r="M9" s="28">
        <f>IF(B9=0,"",IF(G9&gt;=F9,"by 48h",IF(H9&gt;=F9,"by 7d",IF(I9&gt;=F9,"by 14d",IF(J9&gt;=F9,"by 30d",IF(K9&gt;=F9,"after 30d","not yet"))))))</f>
        <v/>
      </c>
    </row>
    <row r="10">
      <c r="A10" s="17" t="inlineStr">
        <is>
          <t>TOTAL</t>
        </is>
      </c>
      <c r="B10" s="29">
        <f>SUMIFS(Cohort!$C:$C,Cohort!$A:$A,IF($B$2="All","*",$B$2))</f>
        <v/>
      </c>
      <c r="C10" s="29">
        <f>SUMIFS(Cohort!$D:$D,Cohort!$A:$A,IF($B$2="All","*",$B$2))</f>
        <v/>
      </c>
      <c r="D10" s="30">
        <f>IFERROR(E10/C10,"")</f>
        <v/>
      </c>
      <c r="E10" s="31">
        <f>SUM(E5:E9)</f>
        <v/>
      </c>
      <c r="F10" s="30">
        <f>IFERROR(E10/B10,"")</f>
        <v/>
      </c>
      <c r="G10" s="30">
        <f>IFERROR((SUMIFS(Cohort!$E:$E,Cohort!$A:$A,IF($B$2="All","*",$B$2)))/B10,"")</f>
        <v/>
      </c>
      <c r="H10" s="30">
        <f>IFERROR((SUMIFS(Cohort!$F:$F,Cohort!$A:$A,IF($B$2="All","*",$B$2)))/B10,"")</f>
        <v/>
      </c>
      <c r="I10" s="30">
        <f>IFERROR((SUMIFS(Cohort!$G:$G,Cohort!$A:$A,IF($B$2="All","*",$B$2)))/B10,"")</f>
        <v/>
      </c>
      <c r="J10" s="30">
        <f>IFERROR((SUMIFS(Cohort!$I:$I,Cohort!$A:$A,IF($B$2="All","*",$B$2)))/B10,"")</f>
        <v/>
      </c>
      <c r="K10" s="30">
        <f>IFERROR((SUMIFS(Cohort!$J:$J,Cohort!$A:$A,IF($B$2="All","*",$B$2)))/B10,"")</f>
        <v/>
      </c>
      <c r="L10" s="30">
        <f>IFERROR(K10-F10,"")</f>
        <v/>
      </c>
      <c r="M10" s="32">
        <f>IF(B10=0,"",IF(G10&gt;=F10,"by 48h",IF(H10&gt;=F10,"by 7d",IF(I10&gt;=F10,"by 14d",IF(J10&gt;=F10,"by 30d",IF(K10&gt;=F10,"after 30d","not yet"))))))</f>
        <v/>
      </c>
    </row>
  </sheetData>
  <mergeCells count="1">
    <mergeCell ref="A1:M1"/>
  </mergeCells>
  <conditionalFormatting sqref="L5:L10">
    <cfRule type="cellIs" priority="1" operator="greaterThanOrEqual" dxfId="3">
      <formula>0</formula>
    </cfRule>
    <cfRule type="cellIs" priority="2" operator="lessThan" dxfId="2">
      <formula>0</formula>
    </cfRule>
  </conditionalFormatting>
  <conditionalFormatting sqref="G5:G10">
    <cfRule type="cellIs" priority="3" operator="greaterThanOrEqual" dxfId="3" stopIfTrue="1">
      <formula>4</formula>
    </cfRule>
    <cfRule type="cellIs" priority="4" operator="greaterThanOrEqual" dxfId="4" stopIfTrue="1">
      <formula>3</formula>
    </cfRule>
    <cfRule type="cellIs" priority="5" operator="lessThan" dxfId="2" stopIfTrue="1">
      <formula>3</formula>
    </cfRule>
  </conditionalFormatting>
  <conditionalFormatting sqref="H5:H10">
    <cfRule type="cellIs" priority="6" operator="greaterThanOrEqual" dxfId="3" stopIfTrue="1">
      <formula>6</formula>
    </cfRule>
    <cfRule type="cellIs" priority="7" operator="greaterThanOrEqual" dxfId="4" stopIfTrue="1">
      <formula>4</formula>
    </cfRule>
    <cfRule type="cellIs" priority="8" operator="lessThan" dxfId="2" stopIfTrue="1">
      <formula>4</formula>
    </cfRule>
  </conditionalFormatting>
  <conditionalFormatting sqref="I5:I10">
    <cfRule type="cellIs" priority="9" operator="greaterThanOrEqual" dxfId="3" stopIfTrue="1">
      <formula>8</formula>
    </cfRule>
    <cfRule type="cellIs" priority="10" operator="greaterThanOrEqual" dxfId="4" stopIfTrue="1">
      <formula>6</formula>
    </cfRule>
    <cfRule type="cellIs" priority="11" operator="lessThan" dxfId="2" stopIfTrue="1">
      <formula>6</formula>
    </cfRule>
  </conditionalFormatting>
  <conditionalFormatting sqref="J5:J10">
    <cfRule type="cellIs" priority="12" operator="greaterThanOrEqual" dxfId="3" stopIfTrue="1">
      <formula>14</formula>
    </cfRule>
    <cfRule type="cellIs" priority="13" operator="greaterThanOrEqual" dxfId="4" stopIfTrue="1">
      <formula>10</formula>
    </cfRule>
    <cfRule type="cellIs" priority="14" operator="lessThan" dxfId="2" stopIfTrue="1">
      <formula>10</formula>
    </cfRule>
  </conditionalFormatting>
  <dataValidations count="1">
    <dataValidation sqref="B2" showDropDown="0" showInputMessage="0" showErrorMessage="0" allowBlank="0" type="list">
      <formula1>"All,Rose white,Ella,Antonella,June - Sandra,Marissa munoz"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1" customWidth="1" min="8" max="8"/>
    <col width="11" customWidth="1" min="9" max="9"/>
  </cols>
  <sheetData>
    <row r="1" ht="24" customHeight="1">
      <c r="A1" s="33" t="inlineStr">
        <is>
          <t>UNCVRD — WEEKLY HISTORY  (every week saved · Fri → Thu)</t>
        </is>
      </c>
    </row>
    <row r="2">
      <c r="A2" s="2" t="inlineStr">
        <is>
          <t>Creator ▸</t>
        </is>
      </c>
      <c r="B2" s="4" t="inlineStr">
        <is>
          <t>All</t>
        </is>
      </c>
    </row>
    <row r="3">
      <c r="A3" s="9" t="inlineStr">
        <is>
          <t>Week (Fri start)</t>
        </is>
      </c>
      <c r="B3" s="9" t="inlineStr">
        <is>
          <t>Clicks</t>
        </is>
      </c>
      <c r="C3" s="9" t="inlineStr">
        <is>
          <t>Fans</t>
        </is>
      </c>
      <c r="D3" s="9" t="inlineStr">
        <is>
          <t>Spend</t>
        </is>
      </c>
      <c r="E3" s="9" t="inlineStr">
        <is>
          <t>CPC</t>
        </is>
      </c>
      <c r="F3" s="9" t="inlineStr">
        <is>
          <t>CVR</t>
        </is>
      </c>
      <c r="G3" s="9" t="inlineStr">
        <is>
          <t>Attributed Revenue</t>
        </is>
      </c>
      <c r="H3" s="9" t="inlineStr">
        <is>
          <t>ROAS</t>
        </is>
      </c>
      <c r="I3" s="9" t="inlineStr">
        <is>
          <t>Agency Profit</t>
        </is>
      </c>
    </row>
    <row r="4">
      <c r="A4" s="34" t="n">
        <v>46199</v>
      </c>
      <c r="B4" s="11">
        <f>SUMIFS(Data!$D:$D,Data!$A:$A,"&gt;="&amp;$A4,Data!$A:$A,"&lt;="&amp;($A4+6),Data!$B:$B,IF($B$2="All","*",$B$2))</f>
        <v/>
      </c>
      <c r="C4" s="11">
        <f>SUMIFS(Data!$E:$E,Data!$A:$A,"&gt;="&amp;$A4,Data!$A:$A,"&lt;="&amp;($A4+6),Data!$B:$B,IF($B$2="All","*",$B$2))</f>
        <v/>
      </c>
      <c r="D4" s="15">
        <f>SUMIFS(Data!$F:$F,Data!$A:$A,"&gt;="&amp;$A4,Data!$A:$A,"&lt;="&amp;($A4+6),Data!$B:$B,IF($B$2="All","*",$B$2))</f>
        <v/>
      </c>
      <c r="E4" s="12">
        <f>IFERROR(D4/B4,"")</f>
        <v/>
      </c>
      <c r="F4" s="14">
        <f>IFERROR(C4/B4,"")</f>
        <v/>
      </c>
      <c r="G4" s="15">
        <f>SUMIFS(Data!$G:$G,Data!$A:$A,"&gt;="&amp;$A4,Data!$A:$A,"&lt;="&amp;($A4+6),Data!$B:$B,IF($B$2="All","*",$B$2))</f>
        <v/>
      </c>
      <c r="H4" s="16">
        <f>IFERROR(G4/D4,"")</f>
        <v/>
      </c>
      <c r="I4" s="12">
        <f>G4-D4</f>
        <v/>
      </c>
    </row>
    <row r="5">
      <c r="A5" s="34" t="n">
        <v>46192</v>
      </c>
      <c r="B5" s="11">
        <f>SUMIFS(Data!$D:$D,Data!$A:$A,"&gt;="&amp;$A5,Data!$A:$A,"&lt;="&amp;($A5+6),Data!$B:$B,IF($B$2="All","*",$B$2))</f>
        <v/>
      </c>
      <c r="C5" s="11">
        <f>SUMIFS(Data!$E:$E,Data!$A:$A,"&gt;="&amp;$A5,Data!$A:$A,"&lt;="&amp;($A5+6),Data!$B:$B,IF($B$2="All","*",$B$2))</f>
        <v/>
      </c>
      <c r="D5" s="15">
        <f>SUMIFS(Data!$F:$F,Data!$A:$A,"&gt;="&amp;$A5,Data!$A:$A,"&lt;="&amp;($A5+6),Data!$B:$B,IF($B$2="All","*",$B$2))</f>
        <v/>
      </c>
      <c r="E5" s="12">
        <f>IFERROR(D5/B5,"")</f>
        <v/>
      </c>
      <c r="F5" s="14">
        <f>IFERROR(C5/B5,"")</f>
        <v/>
      </c>
      <c r="G5" s="15">
        <f>SUMIFS(Data!$G:$G,Data!$A:$A,"&gt;="&amp;$A5,Data!$A:$A,"&lt;="&amp;($A5+6),Data!$B:$B,IF($B$2="All","*",$B$2))</f>
        <v/>
      </c>
      <c r="H5" s="16">
        <f>IFERROR(G5/D5,"")</f>
        <v/>
      </c>
      <c r="I5" s="12">
        <f>G5-D5</f>
        <v/>
      </c>
    </row>
    <row r="6">
      <c r="A6" s="34" t="n">
        <v>46185</v>
      </c>
      <c r="B6" s="11">
        <f>SUMIFS(Data!$D:$D,Data!$A:$A,"&gt;="&amp;$A6,Data!$A:$A,"&lt;="&amp;($A6+6),Data!$B:$B,IF($B$2="All","*",$B$2))</f>
        <v/>
      </c>
      <c r="C6" s="11">
        <f>SUMIFS(Data!$E:$E,Data!$A:$A,"&gt;="&amp;$A6,Data!$A:$A,"&lt;="&amp;($A6+6),Data!$B:$B,IF($B$2="All","*",$B$2))</f>
        <v/>
      </c>
      <c r="D6" s="15">
        <f>SUMIFS(Data!$F:$F,Data!$A:$A,"&gt;="&amp;$A6,Data!$A:$A,"&lt;="&amp;($A6+6),Data!$B:$B,IF($B$2="All","*",$B$2))</f>
        <v/>
      </c>
      <c r="E6" s="12">
        <f>IFERROR(D6/B6,"")</f>
        <v/>
      </c>
      <c r="F6" s="14">
        <f>IFERROR(C6/B6,"")</f>
        <v/>
      </c>
      <c r="G6" s="15">
        <f>SUMIFS(Data!$G:$G,Data!$A:$A,"&gt;="&amp;$A6,Data!$A:$A,"&lt;="&amp;($A6+6),Data!$B:$B,IF($B$2="All","*",$B$2))</f>
        <v/>
      </c>
      <c r="H6" s="16">
        <f>IFERROR(G6/D6,"")</f>
        <v/>
      </c>
      <c r="I6" s="12">
        <f>G6-D6</f>
        <v/>
      </c>
    </row>
    <row r="7">
      <c r="A7" s="34" t="n">
        <v>46178</v>
      </c>
      <c r="B7" s="11">
        <f>SUMIFS(Data!$D:$D,Data!$A:$A,"&gt;="&amp;$A7,Data!$A:$A,"&lt;="&amp;($A7+6),Data!$B:$B,IF($B$2="All","*",$B$2))</f>
        <v/>
      </c>
      <c r="C7" s="11">
        <f>SUMIFS(Data!$E:$E,Data!$A:$A,"&gt;="&amp;$A7,Data!$A:$A,"&lt;="&amp;($A7+6),Data!$B:$B,IF($B$2="All","*",$B$2))</f>
        <v/>
      </c>
      <c r="D7" s="15">
        <f>SUMIFS(Data!$F:$F,Data!$A:$A,"&gt;="&amp;$A7,Data!$A:$A,"&lt;="&amp;($A7+6),Data!$B:$B,IF($B$2="All","*",$B$2))</f>
        <v/>
      </c>
      <c r="E7" s="12">
        <f>IFERROR(D7/B7,"")</f>
        <v/>
      </c>
      <c r="F7" s="14">
        <f>IFERROR(C7/B7,"")</f>
        <v/>
      </c>
      <c r="G7" s="15">
        <f>SUMIFS(Data!$G:$G,Data!$A:$A,"&gt;="&amp;$A7,Data!$A:$A,"&lt;="&amp;($A7+6),Data!$B:$B,IF($B$2="All","*",$B$2))</f>
        <v/>
      </c>
      <c r="H7" s="16">
        <f>IFERROR(G7/D7,"")</f>
        <v/>
      </c>
      <c r="I7" s="12">
        <f>G7-D7</f>
        <v/>
      </c>
    </row>
    <row r="8">
      <c r="A8" s="34" t="n">
        <v>46171</v>
      </c>
      <c r="B8" s="11">
        <f>SUMIFS(Data!$D:$D,Data!$A:$A,"&gt;="&amp;$A8,Data!$A:$A,"&lt;="&amp;($A8+6),Data!$B:$B,IF($B$2="All","*",$B$2))</f>
        <v/>
      </c>
      <c r="C8" s="11">
        <f>SUMIFS(Data!$E:$E,Data!$A:$A,"&gt;="&amp;$A8,Data!$A:$A,"&lt;="&amp;($A8+6),Data!$B:$B,IF($B$2="All","*",$B$2))</f>
        <v/>
      </c>
      <c r="D8" s="15">
        <f>SUMIFS(Data!$F:$F,Data!$A:$A,"&gt;="&amp;$A8,Data!$A:$A,"&lt;="&amp;($A8+6),Data!$B:$B,IF($B$2="All","*",$B$2))</f>
        <v/>
      </c>
      <c r="E8" s="12">
        <f>IFERROR(D8/B8,"")</f>
        <v/>
      </c>
      <c r="F8" s="14">
        <f>IFERROR(C8/B8,"")</f>
        <v/>
      </c>
      <c r="G8" s="15">
        <f>SUMIFS(Data!$G:$G,Data!$A:$A,"&gt;="&amp;$A8,Data!$A:$A,"&lt;="&amp;($A8+6),Data!$B:$B,IF($B$2="All","*",$B$2))</f>
        <v/>
      </c>
      <c r="H8" s="16">
        <f>IFERROR(G8/D8,"")</f>
        <v/>
      </c>
      <c r="I8" s="12">
        <f>G8-D8</f>
        <v/>
      </c>
    </row>
    <row r="9">
      <c r="A9" s="34" t="n">
        <v>46164</v>
      </c>
      <c r="B9" s="11">
        <f>SUMIFS(Data!$D:$D,Data!$A:$A,"&gt;="&amp;$A9,Data!$A:$A,"&lt;="&amp;($A9+6),Data!$B:$B,IF($B$2="All","*",$B$2))</f>
        <v/>
      </c>
      <c r="C9" s="11">
        <f>SUMIFS(Data!$E:$E,Data!$A:$A,"&gt;="&amp;$A9,Data!$A:$A,"&lt;="&amp;($A9+6),Data!$B:$B,IF($B$2="All","*",$B$2))</f>
        <v/>
      </c>
      <c r="D9" s="15">
        <f>SUMIFS(Data!$F:$F,Data!$A:$A,"&gt;="&amp;$A9,Data!$A:$A,"&lt;="&amp;($A9+6),Data!$B:$B,IF($B$2="All","*",$B$2))</f>
        <v/>
      </c>
      <c r="E9" s="12">
        <f>IFERROR(D9/B9,"")</f>
        <v/>
      </c>
      <c r="F9" s="14">
        <f>IFERROR(C9/B9,"")</f>
        <v/>
      </c>
      <c r="G9" s="15">
        <f>SUMIFS(Data!$G:$G,Data!$A:$A,"&gt;="&amp;$A9,Data!$A:$A,"&lt;="&amp;($A9+6),Data!$B:$B,IF($B$2="All","*",$B$2))</f>
        <v/>
      </c>
      <c r="H9" s="16">
        <f>IFERROR(G9/D9,"")</f>
        <v/>
      </c>
      <c r="I9" s="12">
        <f>G9-D9</f>
        <v/>
      </c>
    </row>
    <row r="10">
      <c r="A10" s="34" t="n">
        <v>46157</v>
      </c>
      <c r="B10" s="11">
        <f>SUMIFS(Data!$D:$D,Data!$A:$A,"&gt;="&amp;$A10,Data!$A:$A,"&lt;="&amp;($A10+6),Data!$B:$B,IF($B$2="All","*",$B$2))</f>
        <v/>
      </c>
      <c r="C10" s="11">
        <f>SUMIFS(Data!$E:$E,Data!$A:$A,"&gt;="&amp;$A10,Data!$A:$A,"&lt;="&amp;($A10+6),Data!$B:$B,IF($B$2="All","*",$B$2))</f>
        <v/>
      </c>
      <c r="D10" s="15">
        <f>SUMIFS(Data!$F:$F,Data!$A:$A,"&gt;="&amp;$A10,Data!$A:$A,"&lt;="&amp;($A10+6),Data!$B:$B,IF($B$2="All","*",$B$2))</f>
        <v/>
      </c>
      <c r="E10" s="12">
        <f>IFERROR(D10/B10,"")</f>
        <v/>
      </c>
      <c r="F10" s="14">
        <f>IFERROR(C10/B10,"")</f>
        <v/>
      </c>
      <c r="G10" s="15">
        <f>SUMIFS(Data!$G:$G,Data!$A:$A,"&gt;="&amp;$A10,Data!$A:$A,"&lt;="&amp;($A10+6),Data!$B:$B,IF($B$2="All","*",$B$2))</f>
        <v/>
      </c>
      <c r="H10" s="16">
        <f>IFERROR(G10/D10,"")</f>
        <v/>
      </c>
      <c r="I10" s="12">
        <f>G10-D10</f>
        <v/>
      </c>
    </row>
    <row r="11">
      <c r="A11" s="34" t="n">
        <v>46150</v>
      </c>
      <c r="B11" s="11">
        <f>SUMIFS(Data!$D:$D,Data!$A:$A,"&gt;="&amp;$A11,Data!$A:$A,"&lt;="&amp;($A11+6),Data!$B:$B,IF($B$2="All","*",$B$2))</f>
        <v/>
      </c>
      <c r="C11" s="11">
        <f>SUMIFS(Data!$E:$E,Data!$A:$A,"&gt;="&amp;$A11,Data!$A:$A,"&lt;="&amp;($A11+6),Data!$B:$B,IF($B$2="All","*",$B$2))</f>
        <v/>
      </c>
      <c r="D11" s="15">
        <f>SUMIFS(Data!$F:$F,Data!$A:$A,"&gt;="&amp;$A11,Data!$A:$A,"&lt;="&amp;($A11+6),Data!$B:$B,IF($B$2="All","*",$B$2))</f>
        <v/>
      </c>
      <c r="E11" s="12">
        <f>IFERROR(D11/B11,"")</f>
        <v/>
      </c>
      <c r="F11" s="14">
        <f>IFERROR(C11/B11,"")</f>
        <v/>
      </c>
      <c r="G11" s="15">
        <f>SUMIFS(Data!$G:$G,Data!$A:$A,"&gt;="&amp;$A11,Data!$A:$A,"&lt;="&amp;($A11+6),Data!$B:$B,IF($B$2="All","*",$B$2))</f>
        <v/>
      </c>
      <c r="H11" s="16">
        <f>IFERROR(G11/D11,"")</f>
        <v/>
      </c>
      <c r="I11" s="12">
        <f>G11-D11</f>
        <v/>
      </c>
    </row>
    <row r="12">
      <c r="A12" s="34" t="n">
        <v>46143</v>
      </c>
      <c r="B12" s="11">
        <f>SUMIFS(Data!$D:$D,Data!$A:$A,"&gt;="&amp;$A12,Data!$A:$A,"&lt;="&amp;($A12+6),Data!$B:$B,IF($B$2="All","*",$B$2))</f>
        <v/>
      </c>
      <c r="C12" s="11">
        <f>SUMIFS(Data!$E:$E,Data!$A:$A,"&gt;="&amp;$A12,Data!$A:$A,"&lt;="&amp;($A12+6),Data!$B:$B,IF($B$2="All","*",$B$2))</f>
        <v/>
      </c>
      <c r="D12" s="15">
        <f>SUMIFS(Data!$F:$F,Data!$A:$A,"&gt;="&amp;$A12,Data!$A:$A,"&lt;="&amp;($A12+6),Data!$B:$B,IF($B$2="All","*",$B$2))</f>
        <v/>
      </c>
      <c r="E12" s="12">
        <f>IFERROR(D12/B12,"")</f>
        <v/>
      </c>
      <c r="F12" s="14">
        <f>IFERROR(C12/B12,"")</f>
        <v/>
      </c>
      <c r="G12" s="15">
        <f>SUMIFS(Data!$G:$G,Data!$A:$A,"&gt;="&amp;$A12,Data!$A:$A,"&lt;="&amp;($A12+6),Data!$B:$B,IF($B$2="All","*",$B$2))</f>
        <v/>
      </c>
      <c r="H12" s="16">
        <f>IFERROR(G12/D12,"")</f>
        <v/>
      </c>
      <c r="I12" s="12">
        <f>G12-D12</f>
        <v/>
      </c>
    </row>
    <row r="13">
      <c r="A13" s="34" t="n">
        <v>46136</v>
      </c>
      <c r="B13" s="11">
        <f>SUMIFS(Data!$D:$D,Data!$A:$A,"&gt;="&amp;$A13,Data!$A:$A,"&lt;="&amp;($A13+6),Data!$B:$B,IF($B$2="All","*",$B$2))</f>
        <v/>
      </c>
      <c r="C13" s="11">
        <f>SUMIFS(Data!$E:$E,Data!$A:$A,"&gt;="&amp;$A13,Data!$A:$A,"&lt;="&amp;($A13+6),Data!$B:$B,IF($B$2="All","*",$B$2))</f>
        <v/>
      </c>
      <c r="D13" s="15">
        <f>SUMIFS(Data!$F:$F,Data!$A:$A,"&gt;="&amp;$A13,Data!$A:$A,"&lt;="&amp;($A13+6),Data!$B:$B,IF($B$2="All","*",$B$2))</f>
        <v/>
      </c>
      <c r="E13" s="12">
        <f>IFERROR(D13/B13,"")</f>
        <v/>
      </c>
      <c r="F13" s="14">
        <f>IFERROR(C13/B13,"")</f>
        <v/>
      </c>
      <c r="G13" s="15">
        <f>SUMIFS(Data!$G:$G,Data!$A:$A,"&gt;="&amp;$A13,Data!$A:$A,"&lt;="&amp;($A13+6),Data!$B:$B,IF($B$2="All","*",$B$2))</f>
        <v/>
      </c>
      <c r="H13" s="16">
        <f>IFERROR(G13/D13,"")</f>
        <v/>
      </c>
      <c r="I13" s="12">
        <f>G13-D13</f>
        <v/>
      </c>
    </row>
    <row r="14">
      <c r="A14" s="34" t="n">
        <v>46129</v>
      </c>
      <c r="B14" s="11">
        <f>SUMIFS(Data!$D:$D,Data!$A:$A,"&gt;="&amp;$A14,Data!$A:$A,"&lt;="&amp;($A14+6),Data!$B:$B,IF($B$2="All","*",$B$2))</f>
        <v/>
      </c>
      <c r="C14" s="11">
        <f>SUMIFS(Data!$E:$E,Data!$A:$A,"&gt;="&amp;$A14,Data!$A:$A,"&lt;="&amp;($A14+6),Data!$B:$B,IF($B$2="All","*",$B$2))</f>
        <v/>
      </c>
      <c r="D14" s="15">
        <f>SUMIFS(Data!$F:$F,Data!$A:$A,"&gt;="&amp;$A14,Data!$A:$A,"&lt;="&amp;($A14+6),Data!$B:$B,IF($B$2="All","*",$B$2))</f>
        <v/>
      </c>
      <c r="E14" s="12">
        <f>IFERROR(D14/B14,"")</f>
        <v/>
      </c>
      <c r="F14" s="14">
        <f>IFERROR(C14/B14,"")</f>
        <v/>
      </c>
      <c r="G14" s="15">
        <f>SUMIFS(Data!$G:$G,Data!$A:$A,"&gt;="&amp;$A14,Data!$A:$A,"&lt;="&amp;($A14+6),Data!$B:$B,IF($B$2="All","*",$B$2))</f>
        <v/>
      </c>
      <c r="H14" s="16">
        <f>IFERROR(G14/D14,"")</f>
        <v/>
      </c>
      <c r="I14" s="12">
        <f>G14-D14</f>
        <v/>
      </c>
    </row>
    <row r="15">
      <c r="A15" s="34" t="n">
        <v>46122</v>
      </c>
      <c r="B15" s="11">
        <f>SUMIFS(Data!$D:$D,Data!$A:$A,"&gt;="&amp;$A15,Data!$A:$A,"&lt;="&amp;($A15+6),Data!$B:$B,IF($B$2="All","*",$B$2))</f>
        <v/>
      </c>
      <c r="C15" s="11">
        <f>SUMIFS(Data!$E:$E,Data!$A:$A,"&gt;="&amp;$A15,Data!$A:$A,"&lt;="&amp;($A15+6),Data!$B:$B,IF($B$2="All","*",$B$2))</f>
        <v/>
      </c>
      <c r="D15" s="15">
        <f>SUMIFS(Data!$F:$F,Data!$A:$A,"&gt;="&amp;$A15,Data!$A:$A,"&lt;="&amp;($A15+6),Data!$B:$B,IF($B$2="All","*",$B$2))</f>
        <v/>
      </c>
      <c r="E15" s="12">
        <f>IFERROR(D15/B15,"")</f>
        <v/>
      </c>
      <c r="F15" s="14">
        <f>IFERROR(C15/B15,"")</f>
        <v/>
      </c>
      <c r="G15" s="15">
        <f>SUMIFS(Data!$G:$G,Data!$A:$A,"&gt;="&amp;$A15,Data!$A:$A,"&lt;="&amp;($A15+6),Data!$B:$B,IF($B$2="All","*",$B$2))</f>
        <v/>
      </c>
      <c r="H15" s="16">
        <f>IFERROR(G15/D15,"")</f>
        <v/>
      </c>
      <c r="I15" s="12">
        <f>G15-D15</f>
        <v/>
      </c>
    </row>
  </sheetData>
  <mergeCells count="1">
    <mergeCell ref="A1:I1"/>
  </mergeCells>
  <conditionalFormatting sqref="F4:F15">
    <cfRule type="cellIs" priority="1" operator="greaterThanOrEqual" dxfId="0">
      <formula>0.25</formula>
    </cfRule>
    <cfRule type="cellIs" priority="2" operator="lessThan" dxfId="1">
      <formula>0.25</formula>
    </cfRule>
  </conditionalFormatting>
  <conditionalFormatting sqref="E4:E15">
    <cfRule type="cellIs" priority="3" operator="greaterThan" dxfId="2">
      <formula>0.7</formula>
    </cfRule>
  </conditionalFormatting>
  <dataValidations count="1">
    <dataValidation sqref="B2" showDropDown="0" showInputMessage="0" showErrorMessage="0" allowBlank="0" type="list">
      <formula1>"All,Rose white,Ella,Antonella,June - Sandra,Marissa munoz"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9" customWidth="1" min="4" max="4"/>
    <col width="8" customWidth="1" min="5" max="5"/>
    <col width="10" customWidth="1" min="6" max="6"/>
    <col width="12" customWidth="1" min="7" max="7"/>
    <col width="12" customWidth="1" min="9" max="9"/>
    <col width="46" customWidth="1" min="11" max="11"/>
  </cols>
  <sheetData>
    <row r="1">
      <c r="A1">
        <f>IFERROR(IMPORTDATA("https://ad-suite-production.up.railway.app/sheet-grid?key=uncvrd2026&amp;v=15&amp;sheet="&amp;'Weekly Stats'!$B$3),"")</f>
        <v/>
      </c>
      <c r="I1" s="9" t="inlineStr">
        <is>
          <t>DateKey</t>
        </is>
      </c>
      <c r="K1" s="35" t="inlineStr">
        <is>
          <t>Auto data from the server — don't type here.</t>
        </is>
      </c>
    </row>
    <row r="2">
      <c r="I2">
        <f>ARRAYFORMULA(IF(LEN(A2:A100000)=0,"",TEXT(A2:A100000,"yyyy-mm-dd")))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>
        <f>IFERROR(IMPORTDATA("https://ad-suite-production.up.railway.app/cohort-grid?key=uncvrd2026&amp;v=15&amp;sheet="&amp;'Weekly Stats'!$B$3),"")</f>
        <v/>
      </c>
      <c r="L1" s="35" t="inlineStr">
        <is>
          <t>Auto cohort data from the server (lifetime revenue per subscriber, by age) — don't type here.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</cols>
  <sheetData>
    <row r="1">
      <c r="A1" s="36" t="inlineStr">
        <is>
          <t>MANUAL SPEND — type what you spent on OnlyFinder / OnlyGuider / OnlySeeker.</t>
        </is>
      </c>
    </row>
    <row r="2">
      <c r="A2" s="9" t="inlineStr">
        <is>
          <t>Date</t>
        </is>
      </c>
      <c r="B2" s="9" t="inlineStr">
        <is>
          <t>Creator</t>
        </is>
      </c>
      <c r="C2" s="9" t="inlineStr">
        <is>
          <t>Platform</t>
        </is>
      </c>
      <c r="D2" s="9" t="inlineStr">
        <is>
          <t>Amount ($)</t>
        </is>
      </c>
    </row>
    <row r="3">
      <c r="A3" s="34" t="n"/>
      <c r="B3" s="28" t="n"/>
      <c r="C3" s="28" t="n"/>
      <c r="D3" s="37" t="n"/>
    </row>
    <row r="4">
      <c r="A4" s="34" t="n"/>
      <c r="B4" s="28" t="n"/>
      <c r="C4" s="28" t="n"/>
      <c r="D4" s="37" t="n"/>
    </row>
    <row r="5">
      <c r="A5" s="34" t="n"/>
      <c r="B5" s="28" t="n"/>
      <c r="C5" s="28" t="n"/>
      <c r="D5" s="37" t="n"/>
    </row>
    <row r="6">
      <c r="A6" s="34" t="n"/>
      <c r="B6" s="28" t="n"/>
      <c r="C6" s="28" t="n"/>
      <c r="D6" s="37" t="n"/>
    </row>
    <row r="7">
      <c r="A7" s="34" t="n"/>
      <c r="B7" s="28" t="n"/>
      <c r="C7" s="28" t="n"/>
      <c r="D7" s="37" t="n"/>
    </row>
    <row r="8">
      <c r="A8" s="34" t="n"/>
      <c r="B8" s="28" t="n"/>
      <c r="C8" s="28" t="n"/>
      <c r="D8" s="37" t="n"/>
    </row>
    <row r="9">
      <c r="A9" s="34" t="n"/>
      <c r="B9" s="28" t="n"/>
      <c r="C9" s="28" t="n"/>
      <c r="D9" s="37" t="n"/>
    </row>
    <row r="10">
      <c r="A10" s="34" t="n"/>
      <c r="B10" s="28" t="n"/>
      <c r="C10" s="28" t="n"/>
      <c r="D10" s="37" t="n"/>
    </row>
    <row r="11">
      <c r="A11" s="34" t="n"/>
      <c r="B11" s="28" t="n"/>
      <c r="C11" s="28" t="n"/>
      <c r="D11" s="37" t="n"/>
    </row>
    <row r="12">
      <c r="A12" s="34" t="n"/>
      <c r="B12" s="28" t="n"/>
      <c r="C12" s="28" t="n"/>
      <c r="D12" s="37" t="n"/>
    </row>
    <row r="13">
      <c r="A13" s="34" t="n"/>
      <c r="B13" s="28" t="n"/>
      <c r="C13" s="28" t="n"/>
      <c r="D13" s="37" t="n"/>
    </row>
    <row r="14">
      <c r="A14" s="34" t="n"/>
      <c r="B14" s="28" t="n"/>
      <c r="C14" s="28" t="n"/>
      <c r="D14" s="37" t="n"/>
    </row>
    <row r="15">
      <c r="A15" s="34" t="n"/>
      <c r="B15" s="28" t="n"/>
      <c r="C15" s="28" t="n"/>
      <c r="D15" s="37" t="n"/>
    </row>
    <row r="16">
      <c r="A16" s="34" t="n"/>
      <c r="B16" s="28" t="n"/>
      <c r="C16" s="28" t="n"/>
      <c r="D16" s="37" t="n"/>
    </row>
    <row r="17">
      <c r="A17" s="34" t="n"/>
      <c r="B17" s="28" t="n"/>
      <c r="C17" s="28" t="n"/>
      <c r="D17" s="37" t="n"/>
    </row>
    <row r="18">
      <c r="A18" s="34" t="n"/>
      <c r="B18" s="28" t="n"/>
      <c r="C18" s="28" t="n"/>
      <c r="D18" s="37" t="n"/>
    </row>
    <row r="19">
      <c r="A19" s="34" t="n"/>
      <c r="B19" s="28" t="n"/>
      <c r="C19" s="28" t="n"/>
      <c r="D19" s="37" t="n"/>
    </row>
    <row r="20">
      <c r="A20" s="34" t="n"/>
      <c r="B20" s="28" t="n"/>
      <c r="C20" s="28" t="n"/>
      <c r="D20" s="37" t="n"/>
    </row>
    <row r="21">
      <c r="A21" s="34" t="n"/>
      <c r="B21" s="28" t="n"/>
      <c r="C21" s="28" t="n"/>
      <c r="D21" s="37" t="n"/>
    </row>
    <row r="22">
      <c r="A22" s="34" t="n"/>
      <c r="B22" s="28" t="n"/>
      <c r="C22" s="28" t="n"/>
      <c r="D22" s="37" t="n"/>
    </row>
    <row r="23">
      <c r="A23" s="34" t="n"/>
      <c r="B23" s="28" t="n"/>
      <c r="C23" s="28" t="n"/>
      <c r="D23" s="37" t="n"/>
    </row>
    <row r="24">
      <c r="A24" s="34" t="n"/>
      <c r="B24" s="28" t="n"/>
      <c r="C24" s="28" t="n"/>
      <c r="D24" s="37" t="n"/>
    </row>
    <row r="25">
      <c r="A25" s="34" t="n"/>
      <c r="B25" s="28" t="n"/>
      <c r="C25" s="28" t="n"/>
      <c r="D25" s="37" t="n"/>
    </row>
    <row r="26">
      <c r="A26" s="34" t="n"/>
      <c r="B26" s="28" t="n"/>
      <c r="C26" s="28" t="n"/>
      <c r="D26" s="37" t="n"/>
    </row>
    <row r="27">
      <c r="A27" s="34" t="n"/>
      <c r="B27" s="28" t="n"/>
      <c r="C27" s="28" t="n"/>
      <c r="D27" s="37" t="n"/>
    </row>
    <row r="28">
      <c r="A28" s="34" t="n"/>
      <c r="B28" s="28" t="n"/>
      <c r="C28" s="28" t="n"/>
      <c r="D28" s="37" t="n"/>
    </row>
    <row r="29">
      <c r="A29" s="34" t="n"/>
      <c r="B29" s="28" t="n"/>
      <c r="C29" s="28" t="n"/>
      <c r="D29" s="37" t="n"/>
    </row>
    <row r="30">
      <c r="A30" s="34" t="n"/>
      <c r="B30" s="28" t="n"/>
      <c r="C30" s="28" t="n"/>
      <c r="D30" s="37" t="n"/>
    </row>
    <row r="31">
      <c r="A31" s="34" t="n"/>
      <c r="B31" s="28" t="n"/>
      <c r="C31" s="28" t="n"/>
      <c r="D31" s="37" t="n"/>
    </row>
    <row r="32">
      <c r="A32" s="34" t="n"/>
      <c r="B32" s="28" t="n"/>
      <c r="C32" s="28" t="n"/>
      <c r="D32" s="37" t="n"/>
    </row>
    <row r="33">
      <c r="A33" s="34" t="n"/>
      <c r="B33" s="28" t="n"/>
      <c r="C33" s="28" t="n"/>
      <c r="D33" s="37" t="n"/>
    </row>
    <row r="34">
      <c r="A34" s="34" t="n"/>
      <c r="B34" s="28" t="n"/>
      <c r="C34" s="28" t="n"/>
      <c r="D34" s="37" t="n"/>
    </row>
    <row r="35">
      <c r="A35" s="34" t="n"/>
      <c r="B35" s="28" t="n"/>
      <c r="C35" s="28" t="n"/>
      <c r="D35" s="37" t="n"/>
    </row>
    <row r="36">
      <c r="A36" s="34" t="n"/>
      <c r="B36" s="28" t="n"/>
      <c r="C36" s="28" t="n"/>
      <c r="D36" s="37" t="n"/>
    </row>
    <row r="37">
      <c r="A37" s="34" t="n"/>
      <c r="B37" s="28" t="n"/>
      <c r="C37" s="28" t="n"/>
      <c r="D37" s="37" t="n"/>
    </row>
    <row r="38">
      <c r="A38" s="34" t="n"/>
      <c r="B38" s="28" t="n"/>
      <c r="C38" s="28" t="n"/>
      <c r="D38" s="37" t="n"/>
    </row>
    <row r="39">
      <c r="A39" s="34" t="n"/>
      <c r="B39" s="28" t="n"/>
      <c r="C39" s="28" t="n"/>
      <c r="D39" s="37" t="n"/>
    </row>
    <row r="40">
      <c r="A40" s="34" t="n"/>
      <c r="B40" s="28" t="n"/>
      <c r="C40" s="28" t="n"/>
      <c r="D40" s="37" t="n"/>
    </row>
    <row r="41">
      <c r="A41" s="34" t="n"/>
      <c r="B41" s="28" t="n"/>
      <c r="C41" s="28" t="n"/>
      <c r="D41" s="37" t="n"/>
    </row>
    <row r="42">
      <c r="A42" s="34" t="n"/>
      <c r="B42" s="28" t="n"/>
      <c r="C42" s="28" t="n"/>
      <c r="D42" s="37" t="n"/>
    </row>
    <row r="43">
      <c r="A43" s="34" t="n"/>
      <c r="B43" s="28" t="n"/>
      <c r="C43" s="28" t="n"/>
      <c r="D43" s="37" t="n"/>
    </row>
    <row r="44">
      <c r="A44" s="34" t="n"/>
      <c r="B44" s="28" t="n"/>
      <c r="C44" s="28" t="n"/>
      <c r="D44" s="37" t="n"/>
    </row>
    <row r="45">
      <c r="A45" s="34" t="n"/>
      <c r="B45" s="28" t="n"/>
      <c r="C45" s="28" t="n"/>
      <c r="D45" s="37" t="n"/>
    </row>
    <row r="46">
      <c r="A46" s="34" t="n"/>
      <c r="B46" s="28" t="n"/>
      <c r="C46" s="28" t="n"/>
      <c r="D46" s="37" t="n"/>
    </row>
    <row r="47">
      <c r="A47" s="34" t="n"/>
      <c r="B47" s="28" t="n"/>
      <c r="C47" s="28" t="n"/>
      <c r="D47" s="37" t="n"/>
    </row>
    <row r="48">
      <c r="A48" s="34" t="n"/>
      <c r="B48" s="28" t="n"/>
      <c r="C48" s="28" t="n"/>
      <c r="D48" s="37" t="n"/>
    </row>
    <row r="49">
      <c r="A49" s="34" t="n"/>
      <c r="B49" s="28" t="n"/>
      <c r="C49" s="28" t="n"/>
      <c r="D49" s="37" t="n"/>
    </row>
    <row r="50">
      <c r="A50" s="34" t="n"/>
      <c r="B50" s="28" t="n"/>
      <c r="C50" s="28" t="n"/>
      <c r="D50" s="37" t="n"/>
    </row>
    <row r="51">
      <c r="A51" s="34" t="n"/>
      <c r="B51" s="28" t="n"/>
      <c r="C51" s="28" t="n"/>
      <c r="D51" s="37" t="n"/>
    </row>
    <row r="52">
      <c r="A52" s="34" t="n"/>
      <c r="B52" s="28" t="n"/>
      <c r="C52" s="28" t="n"/>
      <c r="D52" s="37" t="n"/>
    </row>
    <row r="53">
      <c r="A53" s="34" t="n"/>
      <c r="B53" s="28" t="n"/>
      <c r="C53" s="28" t="n"/>
      <c r="D53" s="37" t="n"/>
    </row>
    <row r="54">
      <c r="A54" s="34" t="n"/>
      <c r="B54" s="28" t="n"/>
      <c r="C54" s="28" t="n"/>
      <c r="D54" s="37" t="n"/>
    </row>
    <row r="55">
      <c r="A55" s="34" t="n"/>
      <c r="B55" s="28" t="n"/>
      <c r="C55" s="28" t="n"/>
      <c r="D55" s="37" t="n"/>
    </row>
    <row r="56">
      <c r="A56" s="34" t="n"/>
      <c r="B56" s="28" t="n"/>
      <c r="C56" s="28" t="n"/>
      <c r="D56" s="37" t="n"/>
    </row>
    <row r="57">
      <c r="A57" s="34" t="n"/>
      <c r="B57" s="28" t="n"/>
      <c r="C57" s="28" t="n"/>
      <c r="D57" s="37" t="n"/>
    </row>
    <row r="58">
      <c r="A58" s="34" t="n"/>
      <c r="B58" s="28" t="n"/>
      <c r="C58" s="28" t="n"/>
      <c r="D58" s="37" t="n"/>
    </row>
    <row r="59">
      <c r="A59" s="34" t="n"/>
      <c r="B59" s="28" t="n"/>
      <c r="C59" s="28" t="n"/>
      <c r="D59" s="37" t="n"/>
    </row>
    <row r="60">
      <c r="A60" s="34" t="n"/>
      <c r="B60" s="28" t="n"/>
      <c r="C60" s="28" t="n"/>
      <c r="D60" s="37" t="n"/>
    </row>
    <row r="61">
      <c r="A61" s="34" t="n"/>
      <c r="B61" s="28" t="n"/>
      <c r="C61" s="28" t="n"/>
      <c r="D61" s="37" t="n"/>
    </row>
    <row r="62">
      <c r="A62" s="34" t="n"/>
      <c r="B62" s="28" t="n"/>
      <c r="C62" s="28" t="n"/>
      <c r="D62" s="37" t="n"/>
    </row>
    <row r="63">
      <c r="A63" s="34" t="n"/>
      <c r="B63" s="28" t="n"/>
      <c r="C63" s="28" t="n"/>
      <c r="D63" s="37" t="n"/>
    </row>
    <row r="64">
      <c r="A64" s="34" t="n"/>
      <c r="B64" s="28" t="n"/>
      <c r="C64" s="28" t="n"/>
      <c r="D64" s="37" t="n"/>
    </row>
    <row r="65">
      <c r="A65" s="34" t="n"/>
      <c r="B65" s="28" t="n"/>
      <c r="C65" s="28" t="n"/>
      <c r="D65" s="37" t="n"/>
    </row>
    <row r="66">
      <c r="A66" s="34" t="n"/>
      <c r="B66" s="28" t="n"/>
      <c r="C66" s="28" t="n"/>
      <c r="D66" s="37" t="n"/>
    </row>
    <row r="67">
      <c r="A67" s="34" t="n"/>
      <c r="B67" s="28" t="n"/>
      <c r="C67" s="28" t="n"/>
      <c r="D67" s="37" t="n"/>
    </row>
    <row r="68">
      <c r="A68" s="34" t="n"/>
      <c r="B68" s="28" t="n"/>
      <c r="C68" s="28" t="n"/>
      <c r="D68" s="37" t="n"/>
    </row>
    <row r="69">
      <c r="A69" s="34" t="n"/>
      <c r="B69" s="28" t="n"/>
      <c r="C69" s="28" t="n"/>
      <c r="D69" s="37" t="n"/>
    </row>
    <row r="70">
      <c r="A70" s="34" t="n"/>
      <c r="B70" s="28" t="n"/>
      <c r="C70" s="28" t="n"/>
      <c r="D70" s="37" t="n"/>
    </row>
    <row r="71">
      <c r="A71" s="34" t="n"/>
      <c r="B71" s="28" t="n"/>
      <c r="C71" s="28" t="n"/>
      <c r="D71" s="37" t="n"/>
    </row>
    <row r="72">
      <c r="A72" s="34" t="n"/>
      <c r="B72" s="28" t="n"/>
      <c r="C72" s="28" t="n"/>
      <c r="D72" s="37" t="n"/>
    </row>
    <row r="73">
      <c r="A73" s="34" t="n"/>
      <c r="B73" s="28" t="n"/>
      <c r="C73" s="28" t="n"/>
      <c r="D73" s="37" t="n"/>
    </row>
    <row r="74">
      <c r="A74" s="34" t="n"/>
      <c r="B74" s="28" t="n"/>
      <c r="C74" s="28" t="n"/>
      <c r="D74" s="37" t="n"/>
    </row>
    <row r="75">
      <c r="A75" s="34" t="n"/>
      <c r="B75" s="28" t="n"/>
      <c r="C75" s="28" t="n"/>
      <c r="D75" s="37" t="n"/>
    </row>
    <row r="76">
      <c r="A76" s="34" t="n"/>
      <c r="B76" s="28" t="n"/>
      <c r="C76" s="28" t="n"/>
      <c r="D76" s="37" t="n"/>
    </row>
    <row r="77">
      <c r="A77" s="34" t="n"/>
      <c r="B77" s="28" t="n"/>
      <c r="C77" s="28" t="n"/>
      <c r="D77" s="37" t="n"/>
    </row>
    <row r="78">
      <c r="A78" s="34" t="n"/>
      <c r="B78" s="28" t="n"/>
      <c r="C78" s="28" t="n"/>
      <c r="D78" s="37" t="n"/>
    </row>
    <row r="79">
      <c r="A79" s="34" t="n"/>
      <c r="B79" s="28" t="n"/>
      <c r="C79" s="28" t="n"/>
      <c r="D79" s="37" t="n"/>
    </row>
    <row r="80">
      <c r="A80" s="34" t="n"/>
      <c r="B80" s="28" t="n"/>
      <c r="C80" s="28" t="n"/>
      <c r="D80" s="37" t="n"/>
    </row>
    <row r="81">
      <c r="A81" s="34" t="n"/>
      <c r="B81" s="28" t="n"/>
      <c r="C81" s="28" t="n"/>
      <c r="D81" s="37" t="n"/>
    </row>
    <row r="82">
      <c r="A82" s="34" t="n"/>
      <c r="B82" s="28" t="n"/>
      <c r="C82" s="28" t="n"/>
      <c r="D82" s="37" t="n"/>
    </row>
    <row r="83">
      <c r="A83" s="34" t="n"/>
      <c r="B83" s="28" t="n"/>
      <c r="C83" s="28" t="n"/>
      <c r="D83" s="37" t="n"/>
    </row>
    <row r="84">
      <c r="A84" s="34" t="n"/>
      <c r="B84" s="28" t="n"/>
      <c r="C84" s="28" t="n"/>
      <c r="D84" s="37" t="n"/>
    </row>
    <row r="85">
      <c r="A85" s="34" t="n"/>
      <c r="B85" s="28" t="n"/>
      <c r="C85" s="28" t="n"/>
      <c r="D85" s="37" t="n"/>
    </row>
    <row r="86">
      <c r="A86" s="34" t="n"/>
      <c r="B86" s="28" t="n"/>
      <c r="C86" s="28" t="n"/>
      <c r="D86" s="37" t="n"/>
    </row>
    <row r="87">
      <c r="A87" s="34" t="n"/>
      <c r="B87" s="28" t="n"/>
      <c r="C87" s="28" t="n"/>
      <c r="D87" s="37" t="n"/>
    </row>
    <row r="88">
      <c r="A88" s="34" t="n"/>
      <c r="B88" s="28" t="n"/>
      <c r="C88" s="28" t="n"/>
      <c r="D88" s="37" t="n"/>
    </row>
    <row r="89">
      <c r="A89" s="34" t="n"/>
      <c r="B89" s="28" t="n"/>
      <c r="C89" s="28" t="n"/>
      <c r="D89" s="37" t="n"/>
    </row>
    <row r="90">
      <c r="A90" s="34" t="n"/>
      <c r="B90" s="28" t="n"/>
      <c r="C90" s="28" t="n"/>
      <c r="D90" s="37" t="n"/>
    </row>
    <row r="91">
      <c r="A91" s="34" t="n"/>
      <c r="B91" s="28" t="n"/>
      <c r="C91" s="28" t="n"/>
      <c r="D91" s="37" t="n"/>
    </row>
    <row r="92">
      <c r="A92" s="34" t="n"/>
      <c r="B92" s="28" t="n"/>
      <c r="C92" s="28" t="n"/>
      <c r="D92" s="37" t="n"/>
    </row>
    <row r="93">
      <c r="A93" s="34" t="n"/>
      <c r="B93" s="28" t="n"/>
      <c r="C93" s="28" t="n"/>
      <c r="D93" s="37" t="n"/>
    </row>
    <row r="94">
      <c r="A94" s="34" t="n"/>
      <c r="B94" s="28" t="n"/>
      <c r="C94" s="28" t="n"/>
      <c r="D94" s="37" t="n"/>
    </row>
    <row r="95">
      <c r="A95" s="34" t="n"/>
      <c r="B95" s="28" t="n"/>
      <c r="C95" s="28" t="n"/>
      <c r="D95" s="37" t="n"/>
    </row>
    <row r="96">
      <c r="A96" s="34" t="n"/>
      <c r="B96" s="28" t="n"/>
      <c r="C96" s="28" t="n"/>
      <c r="D96" s="37" t="n"/>
    </row>
    <row r="97">
      <c r="A97" s="34" t="n"/>
      <c r="B97" s="28" t="n"/>
      <c r="C97" s="28" t="n"/>
      <c r="D97" s="37" t="n"/>
    </row>
    <row r="98">
      <c r="A98" s="34" t="n"/>
      <c r="B98" s="28" t="n"/>
      <c r="C98" s="28" t="n"/>
      <c r="D98" s="37" t="n"/>
    </row>
    <row r="99">
      <c r="A99" s="34" t="n"/>
      <c r="B99" s="28" t="n"/>
      <c r="C99" s="28" t="n"/>
      <c r="D99" s="37" t="n"/>
    </row>
    <row r="100">
      <c r="A100" s="34" t="n"/>
      <c r="B100" s="28" t="n"/>
      <c r="C100" s="28" t="n"/>
      <c r="D100" s="37" t="n"/>
    </row>
    <row r="101">
      <c r="A101" s="34" t="n"/>
      <c r="B101" s="28" t="n"/>
      <c r="C101" s="28" t="n"/>
      <c r="D101" s="37" t="n"/>
    </row>
    <row r="102">
      <c r="A102" s="34" t="n"/>
      <c r="B102" s="28" t="n"/>
      <c r="C102" s="28" t="n"/>
      <c r="D102" s="37" t="n"/>
    </row>
    <row r="103">
      <c r="A103" s="34" t="n"/>
      <c r="B103" s="28" t="n"/>
      <c r="C103" s="28" t="n"/>
      <c r="D103" s="37" t="n"/>
    </row>
    <row r="104">
      <c r="A104" s="34" t="n"/>
      <c r="B104" s="28" t="n"/>
      <c r="C104" s="28" t="n"/>
      <c r="D104" s="37" t="n"/>
    </row>
    <row r="105">
      <c r="A105" s="34" t="n"/>
      <c r="B105" s="28" t="n"/>
      <c r="C105" s="28" t="n"/>
      <c r="D105" s="37" t="n"/>
    </row>
    <row r="106">
      <c r="A106" s="34" t="n"/>
      <c r="B106" s="28" t="n"/>
      <c r="C106" s="28" t="n"/>
      <c r="D106" s="37" t="n"/>
    </row>
    <row r="107">
      <c r="A107" s="34" t="n"/>
      <c r="B107" s="28" t="n"/>
      <c r="C107" s="28" t="n"/>
      <c r="D107" s="37" t="n"/>
    </row>
    <row r="108">
      <c r="A108" s="34" t="n"/>
      <c r="B108" s="28" t="n"/>
      <c r="C108" s="28" t="n"/>
      <c r="D108" s="37" t="n"/>
    </row>
    <row r="109">
      <c r="A109" s="34" t="n"/>
      <c r="B109" s="28" t="n"/>
      <c r="C109" s="28" t="n"/>
      <c r="D109" s="37" t="n"/>
    </row>
    <row r="110">
      <c r="A110" s="34" t="n"/>
      <c r="B110" s="28" t="n"/>
      <c r="C110" s="28" t="n"/>
      <c r="D110" s="37" t="n"/>
    </row>
    <row r="111">
      <c r="A111" s="34" t="n"/>
      <c r="B111" s="28" t="n"/>
      <c r="C111" s="28" t="n"/>
      <c r="D111" s="37" t="n"/>
    </row>
    <row r="112">
      <c r="A112" s="34" t="n"/>
      <c r="B112" s="28" t="n"/>
      <c r="C112" s="28" t="n"/>
      <c r="D112" s="37" t="n"/>
    </row>
    <row r="113">
      <c r="A113" s="34" t="n"/>
      <c r="B113" s="28" t="n"/>
      <c r="C113" s="28" t="n"/>
      <c r="D113" s="37" t="n"/>
    </row>
    <row r="114">
      <c r="A114" s="34" t="n"/>
      <c r="B114" s="28" t="n"/>
      <c r="C114" s="28" t="n"/>
      <c r="D114" s="37" t="n"/>
    </row>
    <row r="115">
      <c r="A115" s="34" t="n"/>
      <c r="B115" s="28" t="n"/>
      <c r="C115" s="28" t="n"/>
      <c r="D115" s="37" t="n"/>
    </row>
    <row r="116">
      <c r="A116" s="34" t="n"/>
      <c r="B116" s="28" t="n"/>
      <c r="C116" s="28" t="n"/>
      <c r="D116" s="37" t="n"/>
    </row>
    <row r="117">
      <c r="A117" s="34" t="n"/>
      <c r="B117" s="28" t="n"/>
      <c r="C117" s="28" t="n"/>
      <c r="D117" s="37" t="n"/>
    </row>
    <row r="118">
      <c r="A118" s="34" t="n"/>
      <c r="B118" s="28" t="n"/>
      <c r="C118" s="28" t="n"/>
      <c r="D118" s="37" t="n"/>
    </row>
    <row r="119">
      <c r="A119" s="34" t="n"/>
      <c r="B119" s="28" t="n"/>
      <c r="C119" s="28" t="n"/>
      <c r="D119" s="37" t="n"/>
    </row>
    <row r="120">
      <c r="A120" s="34" t="n"/>
      <c r="B120" s="28" t="n"/>
      <c r="C120" s="28" t="n"/>
      <c r="D120" s="37" t="n"/>
    </row>
    <row r="121">
      <c r="A121" s="34" t="n"/>
      <c r="B121" s="28" t="n"/>
      <c r="C121" s="28" t="n"/>
      <c r="D121" s="37" t="n"/>
    </row>
    <row r="122">
      <c r="A122" s="34" t="n"/>
      <c r="B122" s="28" t="n"/>
      <c r="C122" s="28" t="n"/>
      <c r="D122" s="37" t="n"/>
    </row>
    <row r="123">
      <c r="A123" s="34" t="n"/>
      <c r="B123" s="28" t="n"/>
      <c r="C123" s="28" t="n"/>
      <c r="D123" s="37" t="n"/>
    </row>
    <row r="124">
      <c r="A124" s="34" t="n"/>
      <c r="B124" s="28" t="n"/>
      <c r="C124" s="28" t="n"/>
      <c r="D124" s="37" t="n"/>
    </row>
    <row r="125">
      <c r="A125" s="34" t="n"/>
      <c r="B125" s="28" t="n"/>
      <c r="C125" s="28" t="n"/>
      <c r="D125" s="37" t="n"/>
    </row>
    <row r="126">
      <c r="A126" s="34" t="n"/>
      <c r="B126" s="28" t="n"/>
      <c r="C126" s="28" t="n"/>
      <c r="D126" s="37" t="n"/>
    </row>
    <row r="127">
      <c r="A127" s="34" t="n"/>
      <c r="B127" s="28" t="n"/>
      <c r="C127" s="28" t="n"/>
      <c r="D127" s="37" t="n"/>
    </row>
    <row r="128">
      <c r="A128" s="34" t="n"/>
      <c r="B128" s="28" t="n"/>
      <c r="C128" s="28" t="n"/>
      <c r="D128" s="37" t="n"/>
    </row>
    <row r="129">
      <c r="A129" s="34" t="n"/>
      <c r="B129" s="28" t="n"/>
      <c r="C129" s="28" t="n"/>
      <c r="D129" s="37" t="n"/>
    </row>
    <row r="130">
      <c r="A130" s="34" t="n"/>
      <c r="B130" s="28" t="n"/>
      <c r="C130" s="28" t="n"/>
      <c r="D130" s="37" t="n"/>
    </row>
    <row r="131">
      <c r="A131" s="34" t="n"/>
      <c r="B131" s="28" t="n"/>
      <c r="C131" s="28" t="n"/>
      <c r="D131" s="37" t="n"/>
    </row>
    <row r="132">
      <c r="A132" s="34" t="n"/>
      <c r="B132" s="28" t="n"/>
      <c r="C132" s="28" t="n"/>
      <c r="D132" s="37" t="n"/>
    </row>
    <row r="133">
      <c r="A133" s="34" t="n"/>
      <c r="B133" s="28" t="n"/>
      <c r="C133" s="28" t="n"/>
      <c r="D133" s="37" t="n"/>
    </row>
    <row r="134">
      <c r="A134" s="34" t="n"/>
      <c r="B134" s="28" t="n"/>
      <c r="C134" s="28" t="n"/>
      <c r="D134" s="37" t="n"/>
    </row>
    <row r="135">
      <c r="A135" s="34" t="n"/>
      <c r="B135" s="28" t="n"/>
      <c r="C135" s="28" t="n"/>
      <c r="D135" s="37" t="n"/>
    </row>
    <row r="136">
      <c r="A136" s="34" t="n"/>
      <c r="B136" s="28" t="n"/>
      <c r="C136" s="28" t="n"/>
      <c r="D136" s="37" t="n"/>
    </row>
    <row r="137">
      <c r="A137" s="34" t="n"/>
      <c r="B137" s="28" t="n"/>
      <c r="C137" s="28" t="n"/>
      <c r="D137" s="37" t="n"/>
    </row>
    <row r="138">
      <c r="A138" s="34" t="n"/>
      <c r="B138" s="28" t="n"/>
      <c r="C138" s="28" t="n"/>
      <c r="D138" s="37" t="n"/>
    </row>
    <row r="139">
      <c r="A139" s="34" t="n"/>
      <c r="B139" s="28" t="n"/>
      <c r="C139" s="28" t="n"/>
      <c r="D139" s="37" t="n"/>
    </row>
    <row r="140">
      <c r="A140" s="34" t="n"/>
      <c r="B140" s="28" t="n"/>
      <c r="C140" s="28" t="n"/>
      <c r="D140" s="37" t="n"/>
    </row>
    <row r="141">
      <c r="A141" s="34" t="n"/>
      <c r="B141" s="28" t="n"/>
      <c r="C141" s="28" t="n"/>
      <c r="D141" s="37" t="n"/>
    </row>
    <row r="142">
      <c r="A142" s="34" t="n"/>
      <c r="B142" s="28" t="n"/>
      <c r="C142" s="28" t="n"/>
      <c r="D142" s="37" t="n"/>
    </row>
    <row r="143">
      <c r="A143" s="34" t="n"/>
      <c r="B143" s="28" t="n"/>
      <c r="C143" s="28" t="n"/>
      <c r="D143" s="37" t="n"/>
    </row>
    <row r="144">
      <c r="A144" s="34" t="n"/>
      <c r="B144" s="28" t="n"/>
      <c r="C144" s="28" t="n"/>
      <c r="D144" s="37" t="n"/>
    </row>
    <row r="145">
      <c r="A145" s="34" t="n"/>
      <c r="B145" s="28" t="n"/>
      <c r="C145" s="28" t="n"/>
      <c r="D145" s="37" t="n"/>
    </row>
    <row r="146">
      <c r="A146" s="34" t="n"/>
      <c r="B146" s="28" t="n"/>
      <c r="C146" s="28" t="n"/>
      <c r="D146" s="37" t="n"/>
    </row>
    <row r="147">
      <c r="A147" s="34" t="n"/>
      <c r="B147" s="28" t="n"/>
      <c r="C147" s="28" t="n"/>
      <c r="D147" s="37" t="n"/>
    </row>
    <row r="148">
      <c r="A148" s="34" t="n"/>
      <c r="B148" s="28" t="n"/>
      <c r="C148" s="28" t="n"/>
      <c r="D148" s="37" t="n"/>
    </row>
    <row r="149">
      <c r="A149" s="34" t="n"/>
      <c r="B149" s="28" t="n"/>
      <c r="C149" s="28" t="n"/>
      <c r="D149" s="37" t="n"/>
    </row>
    <row r="150">
      <c r="A150" s="34" t="n"/>
      <c r="B150" s="28" t="n"/>
      <c r="C150" s="28" t="n"/>
      <c r="D150" s="37" t="n"/>
    </row>
    <row r="151">
      <c r="A151" s="34" t="n"/>
      <c r="B151" s="28" t="n"/>
      <c r="C151" s="28" t="n"/>
      <c r="D151" s="37" t="n"/>
    </row>
    <row r="152">
      <c r="A152" s="34" t="n"/>
      <c r="B152" s="28" t="n"/>
      <c r="C152" s="28" t="n"/>
      <c r="D152" s="37" t="n"/>
    </row>
    <row r="153">
      <c r="A153" s="34" t="n"/>
      <c r="B153" s="28" t="n"/>
      <c r="C153" s="28" t="n"/>
      <c r="D153" s="37" t="n"/>
    </row>
    <row r="154">
      <c r="A154" s="34" t="n"/>
      <c r="B154" s="28" t="n"/>
      <c r="C154" s="28" t="n"/>
      <c r="D154" s="37" t="n"/>
    </row>
    <row r="155">
      <c r="A155" s="34" t="n"/>
      <c r="B155" s="28" t="n"/>
      <c r="C155" s="28" t="n"/>
      <c r="D155" s="37" t="n"/>
    </row>
    <row r="156">
      <c r="A156" s="34" t="n"/>
      <c r="B156" s="28" t="n"/>
      <c r="C156" s="28" t="n"/>
      <c r="D156" s="37" t="n"/>
    </row>
    <row r="157">
      <c r="A157" s="34" t="n"/>
      <c r="B157" s="28" t="n"/>
      <c r="C157" s="28" t="n"/>
      <c r="D157" s="37" t="n"/>
    </row>
    <row r="158">
      <c r="A158" s="34" t="n"/>
      <c r="B158" s="28" t="n"/>
      <c r="C158" s="28" t="n"/>
      <c r="D158" s="37" t="n"/>
    </row>
    <row r="159">
      <c r="A159" s="34" t="n"/>
      <c r="B159" s="28" t="n"/>
      <c r="C159" s="28" t="n"/>
      <c r="D159" s="37" t="n"/>
    </row>
    <row r="160">
      <c r="A160" s="34" t="n"/>
      <c r="B160" s="28" t="n"/>
      <c r="C160" s="28" t="n"/>
      <c r="D160" s="37" t="n"/>
    </row>
    <row r="161">
      <c r="A161" s="34" t="n"/>
      <c r="B161" s="28" t="n"/>
      <c r="C161" s="28" t="n"/>
      <c r="D161" s="37" t="n"/>
    </row>
    <row r="162">
      <c r="A162" s="34" t="n"/>
      <c r="B162" s="28" t="n"/>
      <c r="C162" s="28" t="n"/>
      <c r="D162" s="37" t="n"/>
    </row>
    <row r="163">
      <c r="A163" s="34" t="n"/>
      <c r="B163" s="28" t="n"/>
      <c r="C163" s="28" t="n"/>
      <c r="D163" s="37" t="n"/>
    </row>
    <row r="164">
      <c r="A164" s="34" t="n"/>
      <c r="B164" s="28" t="n"/>
      <c r="C164" s="28" t="n"/>
      <c r="D164" s="37" t="n"/>
    </row>
    <row r="165">
      <c r="A165" s="34" t="n"/>
      <c r="B165" s="28" t="n"/>
      <c r="C165" s="28" t="n"/>
      <c r="D165" s="37" t="n"/>
    </row>
    <row r="166">
      <c r="A166" s="34" t="n"/>
      <c r="B166" s="28" t="n"/>
      <c r="C166" s="28" t="n"/>
      <c r="D166" s="37" t="n"/>
    </row>
    <row r="167">
      <c r="A167" s="34" t="n"/>
      <c r="B167" s="28" t="n"/>
      <c r="C167" s="28" t="n"/>
      <c r="D167" s="37" t="n"/>
    </row>
    <row r="168">
      <c r="A168" s="34" t="n"/>
      <c r="B168" s="28" t="n"/>
      <c r="C168" s="28" t="n"/>
      <c r="D168" s="37" t="n"/>
    </row>
    <row r="169">
      <c r="A169" s="34" t="n"/>
      <c r="B169" s="28" t="n"/>
      <c r="C169" s="28" t="n"/>
      <c r="D169" s="37" t="n"/>
    </row>
    <row r="170">
      <c r="A170" s="34" t="n"/>
      <c r="B170" s="28" t="n"/>
      <c r="C170" s="28" t="n"/>
      <c r="D170" s="37" t="n"/>
    </row>
    <row r="171">
      <c r="A171" s="34" t="n"/>
      <c r="B171" s="28" t="n"/>
      <c r="C171" s="28" t="n"/>
      <c r="D171" s="37" t="n"/>
    </row>
    <row r="172">
      <c r="A172" s="34" t="n"/>
      <c r="B172" s="28" t="n"/>
      <c r="C172" s="28" t="n"/>
      <c r="D172" s="37" t="n"/>
    </row>
    <row r="173">
      <c r="A173" s="34" t="n"/>
      <c r="B173" s="28" t="n"/>
      <c r="C173" s="28" t="n"/>
      <c r="D173" s="37" t="n"/>
    </row>
    <row r="174">
      <c r="A174" s="34" t="n"/>
      <c r="B174" s="28" t="n"/>
      <c r="C174" s="28" t="n"/>
      <c r="D174" s="37" t="n"/>
    </row>
    <row r="175">
      <c r="A175" s="34" t="n"/>
      <c r="B175" s="28" t="n"/>
      <c r="C175" s="28" t="n"/>
      <c r="D175" s="37" t="n"/>
    </row>
    <row r="176">
      <c r="A176" s="34" t="n"/>
      <c r="B176" s="28" t="n"/>
      <c r="C176" s="28" t="n"/>
      <c r="D176" s="37" t="n"/>
    </row>
    <row r="177">
      <c r="A177" s="34" t="n"/>
      <c r="B177" s="28" t="n"/>
      <c r="C177" s="28" t="n"/>
      <c r="D177" s="37" t="n"/>
    </row>
    <row r="178">
      <c r="A178" s="34" t="n"/>
      <c r="B178" s="28" t="n"/>
      <c r="C178" s="28" t="n"/>
      <c r="D178" s="37" t="n"/>
    </row>
    <row r="179">
      <c r="A179" s="34" t="n"/>
      <c r="B179" s="28" t="n"/>
      <c r="C179" s="28" t="n"/>
      <c r="D179" s="37" t="n"/>
    </row>
    <row r="180">
      <c r="A180" s="34" t="n"/>
      <c r="B180" s="28" t="n"/>
      <c r="C180" s="28" t="n"/>
      <c r="D180" s="37" t="n"/>
    </row>
    <row r="181">
      <c r="A181" s="34" t="n"/>
      <c r="B181" s="28" t="n"/>
      <c r="C181" s="28" t="n"/>
      <c r="D181" s="37" t="n"/>
    </row>
    <row r="182">
      <c r="A182" s="34" t="n"/>
      <c r="B182" s="28" t="n"/>
      <c r="C182" s="28" t="n"/>
      <c r="D182" s="37" t="n"/>
    </row>
    <row r="183">
      <c r="A183" s="34" t="n"/>
      <c r="B183" s="28" t="n"/>
      <c r="C183" s="28" t="n"/>
      <c r="D183" s="37" t="n"/>
    </row>
    <row r="184">
      <c r="A184" s="34" t="n"/>
      <c r="B184" s="28" t="n"/>
      <c r="C184" s="28" t="n"/>
      <c r="D184" s="37" t="n"/>
    </row>
    <row r="185">
      <c r="A185" s="34" t="n"/>
      <c r="B185" s="28" t="n"/>
      <c r="C185" s="28" t="n"/>
      <c r="D185" s="37" t="n"/>
    </row>
    <row r="186">
      <c r="A186" s="34" t="n"/>
      <c r="B186" s="28" t="n"/>
      <c r="C186" s="28" t="n"/>
      <c r="D186" s="37" t="n"/>
    </row>
    <row r="187">
      <c r="A187" s="34" t="n"/>
      <c r="B187" s="28" t="n"/>
      <c r="C187" s="28" t="n"/>
      <c r="D187" s="37" t="n"/>
    </row>
    <row r="188">
      <c r="A188" s="34" t="n"/>
      <c r="B188" s="28" t="n"/>
      <c r="C188" s="28" t="n"/>
      <c r="D188" s="37" t="n"/>
    </row>
    <row r="189">
      <c r="A189" s="34" t="n"/>
      <c r="B189" s="28" t="n"/>
      <c r="C189" s="28" t="n"/>
      <c r="D189" s="37" t="n"/>
    </row>
    <row r="190">
      <c r="A190" s="34" t="n"/>
      <c r="B190" s="28" t="n"/>
      <c r="C190" s="28" t="n"/>
      <c r="D190" s="37" t="n"/>
    </row>
    <row r="191">
      <c r="A191" s="34" t="n"/>
      <c r="B191" s="28" t="n"/>
      <c r="C191" s="28" t="n"/>
      <c r="D191" s="37" t="n"/>
    </row>
    <row r="192">
      <c r="A192" s="34" t="n"/>
      <c r="B192" s="28" t="n"/>
      <c r="C192" s="28" t="n"/>
      <c r="D192" s="37" t="n"/>
    </row>
    <row r="193">
      <c r="A193" s="34" t="n"/>
      <c r="B193" s="28" t="n"/>
      <c r="C193" s="28" t="n"/>
      <c r="D193" s="37" t="n"/>
    </row>
    <row r="194">
      <c r="A194" s="34" t="n"/>
      <c r="B194" s="28" t="n"/>
      <c r="C194" s="28" t="n"/>
      <c r="D194" s="37" t="n"/>
    </row>
    <row r="195">
      <c r="A195" s="34" t="n"/>
      <c r="B195" s="28" t="n"/>
      <c r="C195" s="28" t="n"/>
      <c r="D195" s="37" t="n"/>
    </row>
    <row r="196">
      <c r="A196" s="34" t="n"/>
      <c r="B196" s="28" t="n"/>
      <c r="C196" s="28" t="n"/>
      <c r="D196" s="37" t="n"/>
    </row>
    <row r="197">
      <c r="A197" s="34" t="n"/>
      <c r="B197" s="28" t="n"/>
      <c r="C197" s="28" t="n"/>
      <c r="D197" s="37" t="n"/>
    </row>
    <row r="198">
      <c r="A198" s="34" t="n"/>
      <c r="B198" s="28" t="n"/>
      <c r="C198" s="28" t="n"/>
      <c r="D198" s="37" t="n"/>
    </row>
    <row r="199">
      <c r="A199" s="34" t="n"/>
      <c r="B199" s="28" t="n"/>
      <c r="C199" s="28" t="n"/>
      <c r="D199" s="37" t="n"/>
    </row>
    <row r="200">
      <c r="A200" s="34" t="n"/>
      <c r="B200" s="28" t="n"/>
      <c r="C200" s="28" t="n"/>
      <c r="D200" s="37" t="n"/>
    </row>
    <row r="201">
      <c r="A201" s="34" t="n"/>
      <c r="B201" s="28" t="n"/>
      <c r="C201" s="28" t="n"/>
      <c r="D201" s="37" t="n"/>
    </row>
    <row r="202">
      <c r="A202" s="34" t="n"/>
      <c r="B202" s="28" t="n"/>
      <c r="C202" s="28" t="n"/>
      <c r="D202" s="37" t="n"/>
    </row>
  </sheetData>
  <mergeCells count="1">
    <mergeCell ref="A1:D1"/>
  </mergeCells>
  <dataValidations count="2">
    <dataValidation sqref="C3:C202" showDropDown="0" showInputMessage="0" showErrorMessage="0" allowBlank="1" type="list">
      <formula1>"OnlyFinder,OnlyGuider,OnlySeeker,OnlyTraffic"</formula1>
    </dataValidation>
    <dataValidation sqref="B3:B202" showDropDown="0" showInputMessage="0" showErrorMessage="0" allowBlank="1" type="list">
      <formula1>"Rose white,Ella,Antonella,June - Sandra,Marissa munoz"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2026-07-03T08:59:38Z</dcterms:created>
  <dcterms:modified xsi:type="dcterms:W3CDTF">2026-07-03T08:59:38Z</dcterms:modified>
</cp:coreProperties>
</file>