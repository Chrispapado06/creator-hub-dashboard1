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Feed" sheetId="2" state="visible" r:id="rId2"/>
    <sheet name="Manual Spend" sheetId="3" state="visible" r:id="rId3"/>
    <sheet name="Link 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mmm d"/>
    <numFmt numFmtId="167" formatCode="0.0%"/>
    <numFmt numFmtId="168" formatCode="0.00&quot;x&quot;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6B7280"/>
      <sz val="11"/>
    </font>
    <font>
      <color rgb="00111111"/>
      <sz val="11"/>
    </font>
    <font>
      <b val="1"/>
      <color rgb="00111111"/>
      <sz val="11"/>
    </font>
    <font>
      <color rgb="006B7280"/>
      <sz val="10"/>
    </font>
    <font>
      <b val="1"/>
      <color rgb="00FFFFFF"/>
      <sz val="18"/>
    </font>
    <font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5B43F5"/>
      </patternFill>
    </fill>
    <fill>
      <patternFill patternType="solid">
        <fgColor rgb="00FCEFD7"/>
      </patternFill>
    </fill>
    <fill>
      <patternFill patternType="solid">
        <fgColor rgb="00FFF6CC"/>
      </patternFill>
    </fill>
    <fill>
      <patternFill patternType="solid">
        <fgColor rgb="00FFFFFF"/>
      </patternFill>
    </fill>
    <fill>
      <patternFill patternType="solid">
        <fgColor rgb="00EEF0F4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166" fontId="7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3" fontId="3" fillId="7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8" fontId="3" fillId="7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" customWidth="1" min="11" max="11"/>
    <col width="8" customWidth="1" min="12" max="12"/>
    <col width="15" customWidth="1" min="13" max="13"/>
    <col width="24" customWidth="1" min="14" max="14"/>
  </cols>
  <sheetData>
    <row r="1" ht="26" customHeight="1">
      <c r="A1" s="1" t="inlineStr">
        <is>
          <t>UNCVRD — AD SCORECARD (LIVE)</t>
        </is>
      </c>
    </row>
    <row r="2">
      <c r="A2" s="2" t="inlineStr">
        <is>
          <t>Fills itself from the server (Feed tab) — no buttons, no scripts. Pick a Creator and a Week. CPC ≤ $0.70, CVR ≥ 25%.</t>
        </is>
      </c>
    </row>
    <row r="3">
      <c r="B3" s="3" t="inlineStr">
        <is>
          <t>Week of (Sun) ▸</t>
        </is>
      </c>
      <c r="C3" s="4" t="n">
        <v>46180</v>
      </c>
      <c r="E3" s="3" t="inlineStr">
        <is>
          <t>Creator ▸</t>
        </is>
      </c>
      <c r="F3" s="5" t="inlineStr">
        <is>
          <t>All</t>
        </is>
      </c>
      <c r="H3" s="2" t="inlineStr">
        <is>
          <t>← pick creator &amp; week</t>
        </is>
      </c>
    </row>
    <row r="4">
      <c r="B4" s="6" t="inlineStr">
        <is>
          <t>METRIC</t>
        </is>
      </c>
      <c r="C4" s="7">
        <f>TEXT(C5,"ddd")</f>
        <v/>
      </c>
      <c r="D4" s="7">
        <f>TEXT(D5,"ddd")</f>
        <v/>
      </c>
      <c r="E4" s="7">
        <f>TEXT(E5,"ddd")</f>
        <v/>
      </c>
      <c r="F4" s="7">
        <f>TEXT(F5,"ddd")</f>
        <v/>
      </c>
      <c r="G4" s="7">
        <f>TEXT(G5,"ddd")</f>
        <v/>
      </c>
      <c r="H4" s="7">
        <f>TEXT(H5,"ddd")</f>
        <v/>
      </c>
      <c r="I4" s="7">
        <f>TEXT(I5,"ddd")</f>
        <v/>
      </c>
      <c r="J4" s="7" t="inlineStr">
        <is>
          <t>Avg/day</t>
        </is>
      </c>
      <c r="K4" s="7" t="inlineStr">
        <is>
          <t>Target</t>
        </is>
      </c>
      <c r="L4" s="7" t="inlineStr">
        <is>
          <t>Status</t>
        </is>
      </c>
      <c r="M4" s="7" t="inlineStr">
        <is>
          <t>Source</t>
        </is>
      </c>
      <c r="N4" s="7" t="inlineStr">
        <is>
          <t>Notes</t>
        </is>
      </c>
    </row>
    <row r="5">
      <c r="C5" s="8">
        <f>$C$3+0</f>
        <v/>
      </c>
      <c r="D5" s="8">
        <f>$C$3+1</f>
        <v/>
      </c>
      <c r="E5" s="8">
        <f>$C$3+2</f>
        <v/>
      </c>
      <c r="F5" s="8">
        <f>$C$3+3</f>
        <v/>
      </c>
      <c r="G5" s="8">
        <f>$C$3+4</f>
        <v/>
      </c>
      <c r="H5" s="8">
        <f>$C$3+5</f>
        <v/>
      </c>
      <c r="I5" s="8">
        <f>$C$3+6</f>
        <v/>
      </c>
    </row>
    <row r="6">
      <c r="A6" s="9" t="inlineStr">
        <is>
          <t>SPEND</t>
        </is>
      </c>
    </row>
    <row r="7">
      <c r="B7" s="10" t="inlineStr">
        <is>
          <t>Ad Spend — Meta</t>
        </is>
      </c>
      <c r="C7" s="11">
        <f>SUMIFS(Feed!$C:$C,Feed!$U:$U,TEXT(C$5,"yyyy-mm-dd"),Feed!$B:$B,IF($F$3="All","*",$F$3))</f>
        <v/>
      </c>
      <c r="D7" s="11">
        <f>SUMIFS(Feed!$C:$C,Feed!$U:$U,TEXT(D$5,"yyyy-mm-dd"),Feed!$B:$B,IF($F$3="All","*",$F$3))</f>
        <v/>
      </c>
      <c r="E7" s="11">
        <f>SUMIFS(Feed!$C:$C,Feed!$U:$U,TEXT(E$5,"yyyy-mm-dd"),Feed!$B:$B,IF($F$3="All","*",$F$3))</f>
        <v/>
      </c>
      <c r="F7" s="11">
        <f>SUMIFS(Feed!$C:$C,Feed!$U:$U,TEXT(F$5,"yyyy-mm-dd"),Feed!$B:$B,IF($F$3="All","*",$F$3))</f>
        <v/>
      </c>
      <c r="G7" s="11">
        <f>SUMIFS(Feed!$C:$C,Feed!$U:$U,TEXT(G$5,"yyyy-mm-dd"),Feed!$B:$B,IF($F$3="All","*",$F$3))</f>
        <v/>
      </c>
      <c r="H7" s="11">
        <f>SUMIFS(Feed!$C:$C,Feed!$U:$U,TEXT(H$5,"yyyy-mm-dd"),Feed!$B:$B,IF($F$3="All","*",$F$3))</f>
        <v/>
      </c>
      <c r="I7" s="11">
        <f>SUMIFS(Feed!$C:$C,Feed!$U:$U,TEXT(I$5,"yyyy-mm-dd"),Feed!$B:$B,IF($F$3="All","*",$F$3))</f>
        <v/>
      </c>
      <c r="J7" s="12">
        <f>IFERROR(AVERAGE(C7:I7),"")</f>
        <v/>
      </c>
      <c r="K7" s="13" t="inlineStr"/>
      <c r="L7" s="14" t="inlineStr"/>
      <c r="M7" s="15" t="inlineStr">
        <is>
          <t>Meta API</t>
        </is>
      </c>
      <c r="N7" s="16" t="inlineStr">
        <is>
          <t>auto (via server)</t>
        </is>
      </c>
    </row>
    <row r="8">
      <c r="B8" s="10" t="inlineStr">
        <is>
          <t>Ad Spend — OnlyFinder</t>
        </is>
      </c>
      <c r="C8" s="11">
        <f>SUMIFS('Manual Spend'!$D:$D,'Manual Spend'!$A:$A,C$5,'Manual Spend'!$B:$B,IF($F$3="All","*",$F$3),'Manual Spend'!$C:$C,"OnlyFinder")</f>
        <v/>
      </c>
      <c r="D8" s="11">
        <f>SUMIFS('Manual Spend'!$D:$D,'Manual Spend'!$A:$A,D$5,'Manual Spend'!$B:$B,IF($F$3="All","*",$F$3),'Manual Spend'!$C:$C,"OnlyFinder")</f>
        <v/>
      </c>
      <c r="E8" s="11">
        <f>SUMIFS('Manual Spend'!$D:$D,'Manual Spend'!$A:$A,E$5,'Manual Spend'!$B:$B,IF($F$3="All","*",$F$3),'Manual Spend'!$C:$C,"OnlyFinder")</f>
        <v/>
      </c>
      <c r="F8" s="11">
        <f>SUMIFS('Manual Spend'!$D:$D,'Manual Spend'!$A:$A,F$5,'Manual Spend'!$B:$B,IF($F$3="All","*",$F$3),'Manual Spend'!$C:$C,"OnlyFinder")</f>
        <v/>
      </c>
      <c r="G8" s="11">
        <f>SUMIFS('Manual Spend'!$D:$D,'Manual Spend'!$A:$A,G$5,'Manual Spend'!$B:$B,IF($F$3="All","*",$F$3),'Manual Spend'!$C:$C,"OnlyFinder")</f>
        <v/>
      </c>
      <c r="H8" s="11">
        <f>SUMIFS('Manual Spend'!$D:$D,'Manual Spend'!$A:$A,H$5,'Manual Spend'!$B:$B,IF($F$3="All","*",$F$3),'Manual Spend'!$C:$C,"OnlyFinder")</f>
        <v/>
      </c>
      <c r="I8" s="11">
        <f>SUMIFS('Manual Spend'!$D:$D,'Manual Spend'!$A:$A,I$5,'Manual Spend'!$B:$B,IF($F$3="All","*",$F$3),'Manual Spend'!$C:$C,"OnlyFinder")</f>
        <v/>
      </c>
      <c r="J8" s="12">
        <f>IFERROR(AVERAGE(C8:I8),"")</f>
        <v/>
      </c>
      <c r="K8" s="13" t="inlineStr"/>
      <c r="L8" s="14" t="inlineStr"/>
      <c r="M8" s="15" t="inlineStr">
        <is>
          <t>Manual Spend tab</t>
        </is>
      </c>
      <c r="N8" s="16" t="inlineStr">
        <is>
          <t>type in Manual Spend</t>
        </is>
      </c>
    </row>
    <row r="9">
      <c r="B9" s="10" t="inlineStr">
        <is>
          <t>Ad Spend — OnlyGuider</t>
        </is>
      </c>
      <c r="C9" s="11">
        <f>SUMIFS('Manual Spend'!$D:$D,'Manual Spend'!$A:$A,C$5,'Manual Spend'!$B:$B,IF($F$3="All","*",$F$3),'Manual Spend'!$C:$C,"OnlyGuider")</f>
        <v/>
      </c>
      <c r="D9" s="11">
        <f>SUMIFS('Manual Spend'!$D:$D,'Manual Spend'!$A:$A,D$5,'Manual Spend'!$B:$B,IF($F$3="All","*",$F$3),'Manual Spend'!$C:$C,"OnlyGuider")</f>
        <v/>
      </c>
      <c r="E9" s="11">
        <f>SUMIFS('Manual Spend'!$D:$D,'Manual Spend'!$A:$A,E$5,'Manual Spend'!$B:$B,IF($F$3="All","*",$F$3),'Manual Spend'!$C:$C,"OnlyGuider")</f>
        <v/>
      </c>
      <c r="F9" s="11">
        <f>SUMIFS('Manual Spend'!$D:$D,'Manual Spend'!$A:$A,F$5,'Manual Spend'!$B:$B,IF($F$3="All","*",$F$3),'Manual Spend'!$C:$C,"OnlyGuider")</f>
        <v/>
      </c>
      <c r="G9" s="11">
        <f>SUMIFS('Manual Spend'!$D:$D,'Manual Spend'!$A:$A,G$5,'Manual Spend'!$B:$B,IF($F$3="All","*",$F$3),'Manual Spend'!$C:$C,"OnlyGuider")</f>
        <v/>
      </c>
      <c r="H9" s="11">
        <f>SUMIFS('Manual Spend'!$D:$D,'Manual Spend'!$A:$A,H$5,'Manual Spend'!$B:$B,IF($F$3="All","*",$F$3),'Manual Spend'!$C:$C,"OnlyGuider")</f>
        <v/>
      </c>
      <c r="I9" s="11">
        <f>SUMIFS('Manual Spend'!$D:$D,'Manual Spend'!$A:$A,I$5,'Manual Spend'!$B:$B,IF($F$3="All","*",$F$3),'Manual Spend'!$C:$C,"OnlyGuider")</f>
        <v/>
      </c>
      <c r="J9" s="12">
        <f>IFERROR(AVERAGE(C9:I9),"")</f>
        <v/>
      </c>
      <c r="K9" s="13" t="inlineStr"/>
      <c r="L9" s="14" t="inlineStr"/>
      <c r="M9" s="15" t="inlineStr">
        <is>
          <t>Manual Spend tab</t>
        </is>
      </c>
      <c r="N9" s="16" t="inlineStr">
        <is>
          <t>type in Manual Spend</t>
        </is>
      </c>
    </row>
    <row r="10">
      <c r="B10" s="10" t="inlineStr">
        <is>
          <t>Ad Spend — OnlySeeker</t>
        </is>
      </c>
      <c r="C10" s="11">
        <f>SUMIFS('Manual Spend'!$D:$D,'Manual Spend'!$A:$A,C$5,'Manual Spend'!$B:$B,IF($F$3="All","*",$F$3),'Manual Spend'!$C:$C,"OnlySeeker")</f>
        <v/>
      </c>
      <c r="D10" s="11">
        <f>SUMIFS('Manual Spend'!$D:$D,'Manual Spend'!$A:$A,D$5,'Manual Spend'!$B:$B,IF($F$3="All","*",$F$3),'Manual Spend'!$C:$C,"OnlySeeker")</f>
        <v/>
      </c>
      <c r="E10" s="11">
        <f>SUMIFS('Manual Spend'!$D:$D,'Manual Spend'!$A:$A,E$5,'Manual Spend'!$B:$B,IF($F$3="All","*",$F$3),'Manual Spend'!$C:$C,"OnlySeeker")</f>
        <v/>
      </c>
      <c r="F10" s="11">
        <f>SUMIFS('Manual Spend'!$D:$D,'Manual Spend'!$A:$A,F$5,'Manual Spend'!$B:$B,IF($F$3="All","*",$F$3),'Manual Spend'!$C:$C,"OnlySeeker")</f>
        <v/>
      </c>
      <c r="G10" s="11">
        <f>SUMIFS('Manual Spend'!$D:$D,'Manual Spend'!$A:$A,G$5,'Manual Spend'!$B:$B,IF($F$3="All","*",$F$3),'Manual Spend'!$C:$C,"OnlySeeker")</f>
        <v/>
      </c>
      <c r="H10" s="11">
        <f>SUMIFS('Manual Spend'!$D:$D,'Manual Spend'!$A:$A,H$5,'Manual Spend'!$B:$B,IF($F$3="All","*",$F$3),'Manual Spend'!$C:$C,"OnlySeeker")</f>
        <v/>
      </c>
      <c r="I10" s="11">
        <f>SUMIFS('Manual Spend'!$D:$D,'Manual Spend'!$A:$A,I$5,'Manual Spend'!$B:$B,IF($F$3="All","*",$F$3),'Manual Spend'!$C:$C,"OnlySeeker")</f>
        <v/>
      </c>
      <c r="J10" s="12">
        <f>IFERROR(AVERAGE(C10:I10),"")</f>
        <v/>
      </c>
      <c r="K10" s="13" t="inlineStr"/>
      <c r="L10" s="14" t="inlineStr"/>
      <c r="M10" s="15" t="inlineStr">
        <is>
          <t>Manual Spend tab</t>
        </is>
      </c>
      <c r="N10" s="16" t="inlineStr">
        <is>
          <t>type in Manual Spend</t>
        </is>
      </c>
    </row>
    <row r="11">
      <c r="B11" s="17" t="inlineStr">
        <is>
          <t>Total Ad Spend</t>
        </is>
      </c>
      <c r="C11" s="12">
        <f>SUM(C7:C10)</f>
        <v/>
      </c>
      <c r="D11" s="12">
        <f>SUM(D7:D10)</f>
        <v/>
      </c>
      <c r="E11" s="12">
        <f>SUM(E7:E10)</f>
        <v/>
      </c>
      <c r="F11" s="12">
        <f>SUM(F7:F10)</f>
        <v/>
      </c>
      <c r="G11" s="12">
        <f>SUM(G7:G10)</f>
        <v/>
      </c>
      <c r="H11" s="12">
        <f>SUM(H7:H10)</f>
        <v/>
      </c>
      <c r="I11" s="12">
        <f>SUM(I7:I10)</f>
        <v/>
      </c>
      <c r="J11" s="12">
        <f>IFERROR(AVERAGE(C11:I11),"")</f>
        <v/>
      </c>
      <c r="K11" s="13" t="inlineStr"/>
      <c r="L11" s="14" t="inlineStr"/>
      <c r="M11" s="15" t="inlineStr">
        <is>
          <t>Formula</t>
        </is>
      </c>
      <c r="N11" s="16" t="inlineStr"/>
    </row>
    <row r="12">
      <c r="A12" s="9" t="inlineStr">
        <is>
          <t>TRAFFIC</t>
        </is>
      </c>
    </row>
    <row r="13">
      <c r="B13" s="10" t="inlineStr">
        <is>
          <t>Clicks — Meta</t>
        </is>
      </c>
      <c r="C13" s="18">
        <f>SUMIFS(Feed!$G:$G,Feed!$U:$U,TEXT(C$5,"yyyy-mm-dd"),Feed!$B:$B,IF($F$3="All","*",$F$3))</f>
        <v/>
      </c>
      <c r="D13" s="18">
        <f>SUMIFS(Feed!$G:$G,Feed!$U:$U,TEXT(D$5,"yyyy-mm-dd"),Feed!$B:$B,IF($F$3="All","*",$F$3))</f>
        <v/>
      </c>
      <c r="E13" s="18">
        <f>SUMIFS(Feed!$G:$G,Feed!$U:$U,TEXT(E$5,"yyyy-mm-dd"),Feed!$B:$B,IF($F$3="All","*",$F$3))</f>
        <v/>
      </c>
      <c r="F13" s="18">
        <f>SUMIFS(Feed!$G:$G,Feed!$U:$U,TEXT(F$5,"yyyy-mm-dd"),Feed!$B:$B,IF($F$3="All","*",$F$3))</f>
        <v/>
      </c>
      <c r="G13" s="18">
        <f>SUMIFS(Feed!$G:$G,Feed!$U:$U,TEXT(G$5,"yyyy-mm-dd"),Feed!$B:$B,IF($F$3="All","*",$F$3))</f>
        <v/>
      </c>
      <c r="H13" s="18">
        <f>SUMIFS(Feed!$G:$G,Feed!$U:$U,TEXT(H$5,"yyyy-mm-dd"),Feed!$B:$B,IF($F$3="All","*",$F$3))</f>
        <v/>
      </c>
      <c r="I13" s="18">
        <f>SUMIFS(Feed!$G:$G,Feed!$U:$U,TEXT(I$5,"yyyy-mm-dd"),Feed!$B:$B,IF($F$3="All","*",$F$3))</f>
        <v/>
      </c>
      <c r="J13" s="19">
        <f>IFERROR(AVERAGE(C13:I13),"")</f>
        <v/>
      </c>
      <c r="K13" s="13" t="inlineStr"/>
      <c r="L13" s="14" t="inlineStr"/>
      <c r="M13" s="15" t="inlineStr">
        <is>
          <t>OnlyFans API</t>
        </is>
      </c>
      <c r="N13" s="16" t="inlineStr"/>
    </row>
    <row r="14">
      <c r="B14" s="10" t="inlineStr">
        <is>
          <t>Clicks — OnlyFinder</t>
        </is>
      </c>
      <c r="C14" s="18">
        <f>SUMIFS(Feed!$H:$H,Feed!$U:$U,TEXT(C$5,"yyyy-mm-dd"),Feed!$B:$B,IF($F$3="All","*",$F$3))</f>
        <v/>
      </c>
      <c r="D14" s="18">
        <f>SUMIFS(Feed!$H:$H,Feed!$U:$U,TEXT(D$5,"yyyy-mm-dd"),Feed!$B:$B,IF($F$3="All","*",$F$3))</f>
        <v/>
      </c>
      <c r="E14" s="18">
        <f>SUMIFS(Feed!$H:$H,Feed!$U:$U,TEXT(E$5,"yyyy-mm-dd"),Feed!$B:$B,IF($F$3="All","*",$F$3))</f>
        <v/>
      </c>
      <c r="F14" s="18">
        <f>SUMIFS(Feed!$H:$H,Feed!$U:$U,TEXT(F$5,"yyyy-mm-dd"),Feed!$B:$B,IF($F$3="All","*",$F$3))</f>
        <v/>
      </c>
      <c r="G14" s="18">
        <f>SUMIFS(Feed!$H:$H,Feed!$U:$U,TEXT(G$5,"yyyy-mm-dd"),Feed!$B:$B,IF($F$3="All","*",$F$3))</f>
        <v/>
      </c>
      <c r="H14" s="18">
        <f>SUMIFS(Feed!$H:$H,Feed!$U:$U,TEXT(H$5,"yyyy-mm-dd"),Feed!$B:$B,IF($F$3="All","*",$F$3))</f>
        <v/>
      </c>
      <c r="I14" s="18">
        <f>SUMIFS(Feed!$H:$H,Feed!$U:$U,TEXT(I$5,"yyyy-mm-dd"),Feed!$B:$B,IF($F$3="All","*",$F$3))</f>
        <v/>
      </c>
      <c r="J14" s="19">
        <f>IFERROR(AVERAGE(C14:I14),"")</f>
        <v/>
      </c>
      <c r="K14" s="13" t="inlineStr"/>
      <c r="L14" s="14" t="inlineStr"/>
      <c r="M14" s="15" t="inlineStr">
        <is>
          <t>OnlyFans API</t>
        </is>
      </c>
      <c r="N14" s="16" t="inlineStr"/>
    </row>
    <row r="15">
      <c r="B15" s="10" t="inlineStr">
        <is>
          <t>Clicks — OnlyGuider</t>
        </is>
      </c>
      <c r="C15" s="18">
        <f>SUMIFS(Feed!$I:$I,Feed!$U:$U,TEXT(C$5,"yyyy-mm-dd"),Feed!$B:$B,IF($F$3="All","*",$F$3))</f>
        <v/>
      </c>
      <c r="D15" s="18">
        <f>SUMIFS(Feed!$I:$I,Feed!$U:$U,TEXT(D$5,"yyyy-mm-dd"),Feed!$B:$B,IF($F$3="All","*",$F$3))</f>
        <v/>
      </c>
      <c r="E15" s="18">
        <f>SUMIFS(Feed!$I:$I,Feed!$U:$U,TEXT(E$5,"yyyy-mm-dd"),Feed!$B:$B,IF($F$3="All","*",$F$3))</f>
        <v/>
      </c>
      <c r="F15" s="18">
        <f>SUMIFS(Feed!$I:$I,Feed!$U:$U,TEXT(F$5,"yyyy-mm-dd"),Feed!$B:$B,IF($F$3="All","*",$F$3))</f>
        <v/>
      </c>
      <c r="G15" s="18">
        <f>SUMIFS(Feed!$I:$I,Feed!$U:$U,TEXT(G$5,"yyyy-mm-dd"),Feed!$B:$B,IF($F$3="All","*",$F$3))</f>
        <v/>
      </c>
      <c r="H15" s="18">
        <f>SUMIFS(Feed!$I:$I,Feed!$U:$U,TEXT(H$5,"yyyy-mm-dd"),Feed!$B:$B,IF($F$3="All","*",$F$3))</f>
        <v/>
      </c>
      <c r="I15" s="18">
        <f>SUMIFS(Feed!$I:$I,Feed!$U:$U,TEXT(I$5,"yyyy-mm-dd"),Feed!$B:$B,IF($F$3="All","*",$F$3))</f>
        <v/>
      </c>
      <c r="J15" s="19">
        <f>IFERROR(AVERAGE(C15:I15),"")</f>
        <v/>
      </c>
      <c r="K15" s="13" t="inlineStr"/>
      <c r="L15" s="14" t="inlineStr"/>
      <c r="M15" s="15" t="inlineStr">
        <is>
          <t>OnlyFans API</t>
        </is>
      </c>
      <c r="N15" s="16" t="inlineStr"/>
    </row>
    <row r="16">
      <c r="B16" s="10" t="inlineStr">
        <is>
          <t>Clicks — OnlySeeker</t>
        </is>
      </c>
      <c r="C16" s="18">
        <f>SUMIFS(Feed!$J:$J,Feed!$U:$U,TEXT(C$5,"yyyy-mm-dd"),Feed!$B:$B,IF($F$3="All","*",$F$3))</f>
        <v/>
      </c>
      <c r="D16" s="18">
        <f>SUMIFS(Feed!$J:$J,Feed!$U:$U,TEXT(D$5,"yyyy-mm-dd"),Feed!$B:$B,IF($F$3="All","*",$F$3))</f>
        <v/>
      </c>
      <c r="E16" s="18">
        <f>SUMIFS(Feed!$J:$J,Feed!$U:$U,TEXT(E$5,"yyyy-mm-dd"),Feed!$B:$B,IF($F$3="All","*",$F$3))</f>
        <v/>
      </c>
      <c r="F16" s="18">
        <f>SUMIFS(Feed!$J:$J,Feed!$U:$U,TEXT(F$5,"yyyy-mm-dd"),Feed!$B:$B,IF($F$3="All","*",$F$3))</f>
        <v/>
      </c>
      <c r="G16" s="18">
        <f>SUMIFS(Feed!$J:$J,Feed!$U:$U,TEXT(G$5,"yyyy-mm-dd"),Feed!$B:$B,IF($F$3="All","*",$F$3))</f>
        <v/>
      </c>
      <c r="H16" s="18">
        <f>SUMIFS(Feed!$J:$J,Feed!$U:$U,TEXT(H$5,"yyyy-mm-dd"),Feed!$B:$B,IF($F$3="All","*",$F$3))</f>
        <v/>
      </c>
      <c r="I16" s="18">
        <f>SUMIFS(Feed!$J:$J,Feed!$U:$U,TEXT(I$5,"yyyy-mm-dd"),Feed!$B:$B,IF($F$3="All","*",$F$3))</f>
        <v/>
      </c>
      <c r="J16" s="19">
        <f>IFERROR(AVERAGE(C16:I16),"")</f>
        <v/>
      </c>
      <c r="K16" s="13" t="inlineStr"/>
      <c r="L16" s="14" t="inlineStr"/>
      <c r="M16" s="15" t="inlineStr">
        <is>
          <t>OnlyFans API</t>
        </is>
      </c>
      <c r="N16" s="16" t="inlineStr"/>
    </row>
    <row r="17">
      <c r="B17" s="17" t="inlineStr">
        <is>
          <t>Total Clicks</t>
        </is>
      </c>
      <c r="C17" s="19">
        <f>SUM(C13:C16)</f>
        <v/>
      </c>
      <c r="D17" s="19">
        <f>SUM(D13:D16)</f>
        <v/>
      </c>
      <c r="E17" s="19">
        <f>SUM(E13:E16)</f>
        <v/>
      </c>
      <c r="F17" s="19">
        <f>SUM(F13:F16)</f>
        <v/>
      </c>
      <c r="G17" s="19">
        <f>SUM(G13:G16)</f>
        <v/>
      </c>
      <c r="H17" s="19">
        <f>SUM(H13:H16)</f>
        <v/>
      </c>
      <c r="I17" s="19">
        <f>SUM(I13:I16)</f>
        <v/>
      </c>
      <c r="J17" s="19">
        <f>IFERROR(AVERAGE(C17:I17),"")</f>
        <v/>
      </c>
      <c r="K17" s="13" t="inlineStr"/>
      <c r="L17" s="14" t="inlineStr"/>
      <c r="M17" s="15" t="inlineStr">
        <is>
          <t>Formula</t>
        </is>
      </c>
      <c r="N17" s="16" t="inlineStr"/>
    </row>
    <row r="18">
      <c r="B18" s="10" t="inlineStr">
        <is>
          <t>CPC — Meta</t>
        </is>
      </c>
      <c r="C18" s="12">
        <f>IFERROR(C7/C13,"")</f>
        <v/>
      </c>
      <c r="D18" s="12">
        <f>IFERROR(D7/D13,"")</f>
        <v/>
      </c>
      <c r="E18" s="12">
        <f>IFERROR(E7/E13,"")</f>
        <v/>
      </c>
      <c r="F18" s="12">
        <f>IFERROR(F7/F13,"")</f>
        <v/>
      </c>
      <c r="G18" s="12">
        <f>IFERROR(G7/G13,"")</f>
        <v/>
      </c>
      <c r="H18" s="12">
        <f>IFERROR(H7/H13,"")</f>
        <v/>
      </c>
      <c r="I18" s="12">
        <f>IFERROR(I7/I13,"")</f>
        <v/>
      </c>
      <c r="J18" s="12">
        <f>IFERROR(AVERAGE(C18:I18),"")</f>
        <v/>
      </c>
      <c r="K18" s="20" t="n">
        <v>0.7</v>
      </c>
      <c r="L18" s="14">
        <f>IF(N(J18)=0,"",IF(J18&lt;=K18,"✅","⚠️"))</f>
        <v/>
      </c>
      <c r="M18" s="15" t="inlineStr">
        <is>
          <t>Formula</t>
        </is>
      </c>
      <c r="N18" s="16" t="inlineStr">
        <is>
          <t>≤ $0.70</t>
        </is>
      </c>
    </row>
    <row r="19">
      <c r="B19" s="10" t="inlineStr">
        <is>
          <t>CPC — OnlyFinder</t>
        </is>
      </c>
      <c r="C19" s="12">
        <f>IFERROR(C8/C14,"")</f>
        <v/>
      </c>
      <c r="D19" s="12">
        <f>IFERROR(D8/D14,"")</f>
        <v/>
      </c>
      <c r="E19" s="12">
        <f>IFERROR(E8/E14,"")</f>
        <v/>
      </c>
      <c r="F19" s="12">
        <f>IFERROR(F8/F14,"")</f>
        <v/>
      </c>
      <c r="G19" s="12">
        <f>IFERROR(G8/G14,"")</f>
        <v/>
      </c>
      <c r="H19" s="12">
        <f>IFERROR(H8/H14,"")</f>
        <v/>
      </c>
      <c r="I19" s="12">
        <f>IFERROR(I8/I14,"")</f>
        <v/>
      </c>
      <c r="J19" s="12">
        <f>IFERROR(AVERAGE(C19:I19),"")</f>
        <v/>
      </c>
      <c r="K19" s="20" t="n">
        <v>0.7</v>
      </c>
      <c r="L19" s="14">
        <f>IF(N(J19)=0,"",IF(J19&lt;=K19,"✅","⚠️"))</f>
        <v/>
      </c>
      <c r="M19" s="15" t="inlineStr">
        <is>
          <t>Formula</t>
        </is>
      </c>
      <c r="N19" s="16" t="inlineStr">
        <is>
          <t>≤ $0.70</t>
        </is>
      </c>
    </row>
    <row r="20">
      <c r="B20" s="10" t="inlineStr">
        <is>
          <t>Blended CPC</t>
        </is>
      </c>
      <c r="C20" s="12">
        <f>IFERROR(C11/C17,"")</f>
        <v/>
      </c>
      <c r="D20" s="12">
        <f>IFERROR(D11/D17,"")</f>
        <v/>
      </c>
      <c r="E20" s="12">
        <f>IFERROR(E11/E17,"")</f>
        <v/>
      </c>
      <c r="F20" s="12">
        <f>IFERROR(F11/F17,"")</f>
        <v/>
      </c>
      <c r="G20" s="12">
        <f>IFERROR(G11/G17,"")</f>
        <v/>
      </c>
      <c r="H20" s="12">
        <f>IFERROR(H11/H17,"")</f>
        <v/>
      </c>
      <c r="I20" s="12">
        <f>IFERROR(I11/I17,"")</f>
        <v/>
      </c>
      <c r="J20" s="12">
        <f>IFERROR(AVERAGE(C20:I20),"")</f>
        <v/>
      </c>
      <c r="K20" s="20" t="n">
        <v>0.7</v>
      </c>
      <c r="L20" s="14">
        <f>IF(N(J20)=0,"",IF(J20&lt;=K20,"✅","⚠️"))</f>
        <v/>
      </c>
      <c r="M20" s="15" t="inlineStr">
        <is>
          <t>Formula</t>
        </is>
      </c>
      <c r="N20" s="16" t="inlineStr"/>
    </row>
    <row r="21">
      <c r="A21" s="9" t="inlineStr">
        <is>
          <t>FANS (CONVERSIONS)</t>
        </is>
      </c>
    </row>
    <row r="22">
      <c r="B22" s="10" t="inlineStr">
        <is>
          <t>New Fans — Meta</t>
        </is>
      </c>
      <c r="C22" s="18">
        <f>SUMIFS(Feed!$K:$K,Feed!$U:$U,TEXT(C$5,"yyyy-mm-dd"),Feed!$B:$B,IF($F$3="All","*",$F$3))</f>
        <v/>
      </c>
      <c r="D22" s="18">
        <f>SUMIFS(Feed!$K:$K,Feed!$U:$U,TEXT(D$5,"yyyy-mm-dd"),Feed!$B:$B,IF($F$3="All","*",$F$3))</f>
        <v/>
      </c>
      <c r="E22" s="18">
        <f>SUMIFS(Feed!$K:$K,Feed!$U:$U,TEXT(E$5,"yyyy-mm-dd"),Feed!$B:$B,IF($F$3="All","*",$F$3))</f>
        <v/>
      </c>
      <c r="F22" s="18">
        <f>SUMIFS(Feed!$K:$K,Feed!$U:$U,TEXT(F$5,"yyyy-mm-dd"),Feed!$B:$B,IF($F$3="All","*",$F$3))</f>
        <v/>
      </c>
      <c r="G22" s="18">
        <f>SUMIFS(Feed!$K:$K,Feed!$U:$U,TEXT(G$5,"yyyy-mm-dd"),Feed!$B:$B,IF($F$3="All","*",$F$3))</f>
        <v/>
      </c>
      <c r="H22" s="18">
        <f>SUMIFS(Feed!$K:$K,Feed!$U:$U,TEXT(H$5,"yyyy-mm-dd"),Feed!$B:$B,IF($F$3="All","*",$F$3))</f>
        <v/>
      </c>
      <c r="I22" s="18">
        <f>SUMIFS(Feed!$K:$K,Feed!$U:$U,TEXT(I$5,"yyyy-mm-dd"),Feed!$B:$B,IF($F$3="All","*",$F$3))</f>
        <v/>
      </c>
      <c r="J22" s="19">
        <f>IFERROR(AVERAGE(C22:I22),"")</f>
        <v/>
      </c>
      <c r="K22" s="13" t="inlineStr"/>
      <c r="L22" s="14" t="inlineStr"/>
      <c r="M22" s="15" t="inlineStr">
        <is>
          <t>OnlyFans API</t>
        </is>
      </c>
      <c r="N22" s="16" t="inlineStr">
        <is>
          <t>links named meta</t>
        </is>
      </c>
    </row>
    <row r="23">
      <c r="B23" s="10" t="inlineStr">
        <is>
          <t>New Fans — OnlyFinder</t>
        </is>
      </c>
      <c r="C23" s="18">
        <f>SUMIFS(Feed!$L:$L,Feed!$U:$U,TEXT(C$5,"yyyy-mm-dd"),Feed!$B:$B,IF($F$3="All","*",$F$3))</f>
        <v/>
      </c>
      <c r="D23" s="18">
        <f>SUMIFS(Feed!$L:$L,Feed!$U:$U,TEXT(D$5,"yyyy-mm-dd"),Feed!$B:$B,IF($F$3="All","*",$F$3))</f>
        <v/>
      </c>
      <c r="E23" s="18">
        <f>SUMIFS(Feed!$L:$L,Feed!$U:$U,TEXT(E$5,"yyyy-mm-dd"),Feed!$B:$B,IF($F$3="All","*",$F$3))</f>
        <v/>
      </c>
      <c r="F23" s="18">
        <f>SUMIFS(Feed!$L:$L,Feed!$U:$U,TEXT(F$5,"yyyy-mm-dd"),Feed!$B:$B,IF($F$3="All","*",$F$3))</f>
        <v/>
      </c>
      <c r="G23" s="18">
        <f>SUMIFS(Feed!$L:$L,Feed!$U:$U,TEXT(G$5,"yyyy-mm-dd"),Feed!$B:$B,IF($F$3="All","*",$F$3))</f>
        <v/>
      </c>
      <c r="H23" s="18">
        <f>SUMIFS(Feed!$L:$L,Feed!$U:$U,TEXT(H$5,"yyyy-mm-dd"),Feed!$B:$B,IF($F$3="All","*",$F$3))</f>
        <v/>
      </c>
      <c r="I23" s="18">
        <f>SUMIFS(Feed!$L:$L,Feed!$U:$U,TEXT(I$5,"yyyy-mm-dd"),Feed!$B:$B,IF($F$3="All","*",$F$3))</f>
        <v/>
      </c>
      <c r="J23" s="19">
        <f>IFERROR(AVERAGE(C23:I23),"")</f>
        <v/>
      </c>
      <c r="K23" s="13" t="inlineStr"/>
      <c r="L23" s="14" t="inlineStr"/>
      <c r="M23" s="15" t="inlineStr">
        <is>
          <t>OnlyFans API</t>
        </is>
      </c>
      <c r="N23" s="16" t="inlineStr"/>
    </row>
    <row r="24">
      <c r="B24" s="10" t="inlineStr">
        <is>
          <t>New Fans — OnlyGuider</t>
        </is>
      </c>
      <c r="C24" s="18">
        <f>SUMIFS(Feed!$M:$M,Feed!$U:$U,TEXT(C$5,"yyyy-mm-dd"),Feed!$B:$B,IF($F$3="All","*",$F$3))</f>
        <v/>
      </c>
      <c r="D24" s="18">
        <f>SUMIFS(Feed!$M:$M,Feed!$U:$U,TEXT(D$5,"yyyy-mm-dd"),Feed!$B:$B,IF($F$3="All","*",$F$3))</f>
        <v/>
      </c>
      <c r="E24" s="18">
        <f>SUMIFS(Feed!$M:$M,Feed!$U:$U,TEXT(E$5,"yyyy-mm-dd"),Feed!$B:$B,IF($F$3="All","*",$F$3))</f>
        <v/>
      </c>
      <c r="F24" s="18">
        <f>SUMIFS(Feed!$M:$M,Feed!$U:$U,TEXT(F$5,"yyyy-mm-dd"),Feed!$B:$B,IF($F$3="All","*",$F$3))</f>
        <v/>
      </c>
      <c r="G24" s="18">
        <f>SUMIFS(Feed!$M:$M,Feed!$U:$U,TEXT(G$5,"yyyy-mm-dd"),Feed!$B:$B,IF($F$3="All","*",$F$3))</f>
        <v/>
      </c>
      <c r="H24" s="18">
        <f>SUMIFS(Feed!$M:$M,Feed!$U:$U,TEXT(H$5,"yyyy-mm-dd"),Feed!$B:$B,IF($F$3="All","*",$F$3))</f>
        <v/>
      </c>
      <c r="I24" s="18">
        <f>SUMIFS(Feed!$M:$M,Feed!$U:$U,TEXT(I$5,"yyyy-mm-dd"),Feed!$B:$B,IF($F$3="All","*",$F$3))</f>
        <v/>
      </c>
      <c r="J24" s="19">
        <f>IFERROR(AVERAGE(C24:I24),"")</f>
        <v/>
      </c>
      <c r="K24" s="13" t="inlineStr"/>
      <c r="L24" s="14" t="inlineStr"/>
      <c r="M24" s="15" t="inlineStr">
        <is>
          <t>OnlyFans API</t>
        </is>
      </c>
      <c r="N24" s="16" t="inlineStr"/>
    </row>
    <row r="25">
      <c r="B25" s="10" t="inlineStr">
        <is>
          <t>New Fans — OnlySeeker</t>
        </is>
      </c>
      <c r="C25" s="18">
        <f>SUMIFS(Feed!$N:$N,Feed!$U:$U,TEXT(C$5,"yyyy-mm-dd"),Feed!$B:$B,IF($F$3="All","*",$F$3))</f>
        <v/>
      </c>
      <c r="D25" s="18">
        <f>SUMIFS(Feed!$N:$N,Feed!$U:$U,TEXT(D$5,"yyyy-mm-dd"),Feed!$B:$B,IF($F$3="All","*",$F$3))</f>
        <v/>
      </c>
      <c r="E25" s="18">
        <f>SUMIFS(Feed!$N:$N,Feed!$U:$U,TEXT(E$5,"yyyy-mm-dd"),Feed!$B:$B,IF($F$3="All","*",$F$3))</f>
        <v/>
      </c>
      <c r="F25" s="18">
        <f>SUMIFS(Feed!$N:$N,Feed!$U:$U,TEXT(F$5,"yyyy-mm-dd"),Feed!$B:$B,IF($F$3="All","*",$F$3))</f>
        <v/>
      </c>
      <c r="G25" s="18">
        <f>SUMIFS(Feed!$N:$N,Feed!$U:$U,TEXT(G$5,"yyyy-mm-dd"),Feed!$B:$B,IF($F$3="All","*",$F$3))</f>
        <v/>
      </c>
      <c r="H25" s="18">
        <f>SUMIFS(Feed!$N:$N,Feed!$U:$U,TEXT(H$5,"yyyy-mm-dd"),Feed!$B:$B,IF($F$3="All","*",$F$3))</f>
        <v/>
      </c>
      <c r="I25" s="18">
        <f>SUMIFS(Feed!$N:$N,Feed!$U:$U,TEXT(I$5,"yyyy-mm-dd"),Feed!$B:$B,IF($F$3="All","*",$F$3))</f>
        <v/>
      </c>
      <c r="J25" s="19">
        <f>IFERROR(AVERAGE(C25:I25),"")</f>
        <v/>
      </c>
      <c r="K25" s="13" t="inlineStr"/>
      <c r="L25" s="14" t="inlineStr"/>
      <c r="M25" s="15" t="inlineStr">
        <is>
          <t>OnlyFans API</t>
        </is>
      </c>
      <c r="N25" s="16" t="inlineStr"/>
    </row>
    <row r="26">
      <c r="B26" s="17" t="inlineStr">
        <is>
          <t>Total New Fans</t>
        </is>
      </c>
      <c r="C26" s="19">
        <f>SUM(C22:C25)</f>
        <v/>
      </c>
      <c r="D26" s="19">
        <f>SUM(D22:D25)</f>
        <v/>
      </c>
      <c r="E26" s="19">
        <f>SUM(E22:E25)</f>
        <v/>
      </c>
      <c r="F26" s="19">
        <f>SUM(F22:F25)</f>
        <v/>
      </c>
      <c r="G26" s="19">
        <f>SUM(G22:G25)</f>
        <v/>
      </c>
      <c r="H26" s="19">
        <f>SUM(H22:H25)</f>
        <v/>
      </c>
      <c r="I26" s="19">
        <f>SUM(I22:I25)</f>
        <v/>
      </c>
      <c r="J26" s="19">
        <f>IFERROR(AVERAGE(C26:I26),"")</f>
        <v/>
      </c>
      <c r="K26" s="13" t="inlineStr"/>
      <c r="L26" s="14" t="inlineStr"/>
      <c r="M26" s="15" t="inlineStr">
        <is>
          <t>Formula</t>
        </is>
      </c>
      <c r="N26" s="16" t="inlineStr"/>
    </row>
    <row r="27">
      <c r="B27" s="10" t="inlineStr">
        <is>
          <t>Subscription CVR — Meta</t>
        </is>
      </c>
      <c r="C27" s="21">
        <f>IFERROR(C22/C13,"")</f>
        <v/>
      </c>
      <c r="D27" s="21">
        <f>IFERROR(D22/D13,"")</f>
        <v/>
      </c>
      <c r="E27" s="21">
        <f>IFERROR(E22/E13,"")</f>
        <v/>
      </c>
      <c r="F27" s="21">
        <f>IFERROR(F22/F13,"")</f>
        <v/>
      </c>
      <c r="G27" s="21">
        <f>IFERROR(G22/G13,"")</f>
        <v/>
      </c>
      <c r="H27" s="21">
        <f>IFERROR(H22/H13,"")</f>
        <v/>
      </c>
      <c r="I27" s="21">
        <f>IFERROR(I22/I13,"")</f>
        <v/>
      </c>
      <c r="J27" s="21">
        <f>IFERROR(AVERAGE(C27:I27),"")</f>
        <v/>
      </c>
      <c r="K27" s="22" t="n">
        <v>0.25</v>
      </c>
      <c r="L27" s="14">
        <f>IF(N(J27)=0,"",IF(J27&gt;=K27,"✅","⚠️"))</f>
        <v/>
      </c>
      <c r="M27" s="15" t="inlineStr">
        <is>
          <t>Formula</t>
        </is>
      </c>
      <c r="N27" s="16" t="inlineStr">
        <is>
          <t>≥ 25% else split-test</t>
        </is>
      </c>
    </row>
    <row r="28">
      <c r="B28" s="10" t="inlineStr">
        <is>
          <t>Subscription CVR — Blended</t>
        </is>
      </c>
      <c r="C28" s="21">
        <f>IFERROR(C26/C17,"")</f>
        <v/>
      </c>
      <c r="D28" s="21">
        <f>IFERROR(D26/D17,"")</f>
        <v/>
      </c>
      <c r="E28" s="21">
        <f>IFERROR(E26/E17,"")</f>
        <v/>
      </c>
      <c r="F28" s="21">
        <f>IFERROR(F26/F17,"")</f>
        <v/>
      </c>
      <c r="G28" s="21">
        <f>IFERROR(G26/G17,"")</f>
        <v/>
      </c>
      <c r="H28" s="21">
        <f>IFERROR(H26/H17,"")</f>
        <v/>
      </c>
      <c r="I28" s="21">
        <f>IFERROR(I26/I17,"")</f>
        <v/>
      </c>
      <c r="J28" s="21">
        <f>IFERROR(AVERAGE(C28:I28),"")</f>
        <v/>
      </c>
      <c r="K28" s="22" t="n">
        <v>0.25</v>
      </c>
      <c r="L28" s="14">
        <f>IF(N(J28)=0,"",IF(J28&gt;=K28,"✅","⚠️"))</f>
        <v/>
      </c>
      <c r="M28" s="15" t="inlineStr">
        <is>
          <t>Formula</t>
        </is>
      </c>
      <c r="N28" s="16" t="inlineStr"/>
    </row>
    <row r="29">
      <c r="B29" s="10" t="inlineStr">
        <is>
          <t>Cost per Fan (CAC)</t>
        </is>
      </c>
      <c r="C29" s="12">
        <f>IFERROR(C11/C26,"")</f>
        <v/>
      </c>
      <c r="D29" s="12">
        <f>IFERROR(D11/D26,"")</f>
        <v/>
      </c>
      <c r="E29" s="12">
        <f>IFERROR(E11/E26,"")</f>
        <v/>
      </c>
      <c r="F29" s="12">
        <f>IFERROR(F11/F26,"")</f>
        <v/>
      </c>
      <c r="G29" s="12">
        <f>IFERROR(G11/G26,"")</f>
        <v/>
      </c>
      <c r="H29" s="12">
        <f>IFERROR(H11/H26,"")</f>
        <v/>
      </c>
      <c r="I29" s="12">
        <f>IFERROR(I11/I26,"")</f>
        <v/>
      </c>
      <c r="J29" s="12">
        <f>IFERROR(AVERAGE(C29:I29),"")</f>
        <v/>
      </c>
      <c r="K29" s="13" t="inlineStr"/>
      <c r="L29" s="14" t="inlineStr"/>
      <c r="M29" s="15" t="inlineStr">
        <is>
          <t>Formula</t>
        </is>
      </c>
      <c r="N29" s="16" t="inlineStr"/>
    </row>
    <row r="30">
      <c r="A30" s="9" t="inlineStr">
        <is>
          <t>REVENUE</t>
        </is>
      </c>
    </row>
    <row r="31">
      <c r="B31" s="10" t="inlineStr">
        <is>
          <t>Revenue</t>
        </is>
      </c>
      <c r="C31" s="11">
        <f>SUMIFS(Feed!$O:$O,Feed!$U:$U,TEXT(C$5,"yyyy-mm-dd"),Feed!$B:$B,IF($F$3="All","*",$F$3))</f>
        <v/>
      </c>
      <c r="D31" s="11">
        <f>SUMIFS(Feed!$O:$O,Feed!$U:$U,TEXT(D$5,"yyyy-mm-dd"),Feed!$B:$B,IF($F$3="All","*",$F$3))</f>
        <v/>
      </c>
      <c r="E31" s="11">
        <f>SUMIFS(Feed!$O:$O,Feed!$U:$U,TEXT(E$5,"yyyy-mm-dd"),Feed!$B:$B,IF($F$3="All","*",$F$3))</f>
        <v/>
      </c>
      <c r="F31" s="11">
        <f>SUMIFS(Feed!$O:$O,Feed!$U:$U,TEXT(F$5,"yyyy-mm-dd"),Feed!$B:$B,IF($F$3="All","*",$F$3))</f>
        <v/>
      </c>
      <c r="G31" s="11">
        <f>SUMIFS(Feed!$O:$O,Feed!$U:$U,TEXT(G$5,"yyyy-mm-dd"),Feed!$B:$B,IF($F$3="All","*",$F$3))</f>
        <v/>
      </c>
      <c r="H31" s="11">
        <f>SUMIFS(Feed!$O:$O,Feed!$U:$U,TEXT(H$5,"yyyy-mm-dd"),Feed!$B:$B,IF($F$3="All","*",$F$3))</f>
        <v/>
      </c>
      <c r="I31" s="11">
        <f>SUMIFS(Feed!$O:$O,Feed!$U:$U,TEXT(I$5,"yyyy-mm-dd"),Feed!$B:$B,IF($F$3="All","*",$F$3))</f>
        <v/>
      </c>
      <c r="J31" s="12">
        <f>IFERROR(AVERAGE(C31:I31),"")</f>
        <v/>
      </c>
      <c r="K31" s="13" t="inlineStr"/>
      <c r="L31" s="14" t="inlineStr"/>
      <c r="M31" s="15" t="inlineStr">
        <is>
          <t>OnlyFans API</t>
        </is>
      </c>
      <c r="N31" s="16" t="inlineStr"/>
    </row>
    <row r="32">
      <c r="B32" s="10" t="inlineStr">
        <is>
          <t>Revenue per Fan (LTV)</t>
        </is>
      </c>
      <c r="C32" s="12">
        <f>IFERROR(C31/C26,"")</f>
        <v/>
      </c>
      <c r="D32" s="12">
        <f>IFERROR(D31/D26,"")</f>
        <v/>
      </c>
      <c r="E32" s="12">
        <f>IFERROR(E31/E26,"")</f>
        <v/>
      </c>
      <c r="F32" s="12">
        <f>IFERROR(F31/F26,"")</f>
        <v/>
      </c>
      <c r="G32" s="12">
        <f>IFERROR(G31/G26,"")</f>
        <v/>
      </c>
      <c r="H32" s="12">
        <f>IFERROR(H31/H26,"")</f>
        <v/>
      </c>
      <c r="I32" s="12">
        <f>IFERROR(I31/I26,"")</f>
        <v/>
      </c>
      <c r="J32" s="12">
        <f>IFERROR(AVERAGE(C32:I32),"")</f>
        <v/>
      </c>
      <c r="K32" s="13" t="inlineStr"/>
      <c r="L32" s="14" t="inlineStr"/>
      <c r="M32" s="15" t="inlineStr">
        <is>
          <t>Formula</t>
        </is>
      </c>
      <c r="N32" s="16" t="inlineStr"/>
    </row>
    <row r="33">
      <c r="B33" s="10" t="inlineStr">
        <is>
          <t>ROAS</t>
        </is>
      </c>
      <c r="C33" s="23">
        <f>IFERROR(C31/C11,"")</f>
        <v/>
      </c>
      <c r="D33" s="23">
        <f>IFERROR(D31/D11,"")</f>
        <v/>
      </c>
      <c r="E33" s="23">
        <f>IFERROR(E31/E11,"")</f>
        <v/>
      </c>
      <c r="F33" s="23">
        <f>IFERROR(F31/F11,"")</f>
        <v/>
      </c>
      <c r="G33" s="23">
        <f>IFERROR(G31/G11,"")</f>
        <v/>
      </c>
      <c r="H33" s="23">
        <f>IFERROR(H31/H11,"")</f>
        <v/>
      </c>
      <c r="I33" s="23">
        <f>IFERROR(I31/I11,"")</f>
        <v/>
      </c>
      <c r="J33" s="23">
        <f>IFERROR(AVERAGE(C33:I33),"")</f>
        <v/>
      </c>
      <c r="K33" s="24" t="n">
        <v>2</v>
      </c>
      <c r="L33" s="14">
        <f>IF(N(J33)=0,"",IF(J33&gt;=K33,"✅","⚠️"))</f>
        <v/>
      </c>
      <c r="M33" s="15" t="inlineStr">
        <is>
          <t>Formula</t>
        </is>
      </c>
      <c r="N33" s="16" t="inlineStr">
        <is>
          <t>≥2x scale · &lt;1x cut</t>
        </is>
      </c>
    </row>
    <row r="34">
      <c r="B34" s="17" t="inlineStr">
        <is>
          <t>Profit</t>
        </is>
      </c>
      <c r="C34" s="12">
        <f>C31-C11</f>
        <v/>
      </c>
      <c r="D34" s="12">
        <f>D31-D11</f>
        <v/>
      </c>
      <c r="E34" s="12">
        <f>E31-E11</f>
        <v/>
      </c>
      <c r="F34" s="12">
        <f>F31-F11</f>
        <v/>
      </c>
      <c r="G34" s="12">
        <f>G31-G11</f>
        <v/>
      </c>
      <c r="H34" s="12">
        <f>H31-H11</f>
        <v/>
      </c>
      <c r="I34" s="12">
        <f>I31-I11</f>
        <v/>
      </c>
      <c r="J34" s="12">
        <f>IFERROR(AVERAGE(C34:I34),"")</f>
        <v/>
      </c>
      <c r="K34" s="13" t="inlineStr"/>
      <c r="L34" s="14" t="inlineStr"/>
      <c r="M34" s="15" t="inlineStr">
        <is>
          <t>Formula</t>
        </is>
      </c>
      <c r="N34" s="16" t="inlineStr"/>
    </row>
  </sheetData>
  <mergeCells count="12">
    <mergeCell ref="M4:M5"/>
    <mergeCell ref="B4:B5"/>
    <mergeCell ref="A6:N6"/>
    <mergeCell ref="A12:N12"/>
    <mergeCell ref="A21:N21"/>
    <mergeCell ref="J4:J5"/>
    <mergeCell ref="A2:N2"/>
    <mergeCell ref="N4:N5"/>
    <mergeCell ref="K4:K5"/>
    <mergeCell ref="L4:L5"/>
    <mergeCell ref="A30:N30"/>
    <mergeCell ref="A1:N1"/>
  </mergeCells>
  <dataValidations count="1">
    <dataValidation sqref="F3" showDropDown="0" showInputMessage="0" showErrorMessage="0" allowBlank="0" type="list">
      <formula1>"All,June - Sandra,Antonella,Marissa munoz"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21" max="21"/>
    <col width="60" customWidth="1" min="23" max="23"/>
  </cols>
  <sheetData>
    <row r="1">
      <c r="A1">
        <f>IMPORTDATA("https://uncvrd-ad-suite.onrender.com/sheet-feed?key=uncvrd2026&amp;sheet="&amp;'Link Settings'!$B$1)</f>
        <v/>
      </c>
      <c r="U1" s="7" t="inlineStr">
        <is>
          <t>DateKey</t>
        </is>
      </c>
      <c r="W1" s="25" t="inlineStr">
        <is>
          <t>This tab fills itself from the UNCVRD server (history included). Don't type here.</t>
        </is>
      </c>
    </row>
    <row r="2">
      <c r="U2">
        <f>ARRAYFORMULA(IF(LEN(A2:A100000)=0,"",TEXT(A2:A100000,"yyyy-mm-dd")))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2" customWidth="1" min="4" max="4"/>
  </cols>
  <sheetData>
    <row r="1">
      <c r="A1" s="26" t="inlineStr">
        <is>
          <t>MANUAL SPEND — type what you spent on OnlyFinder / OnlyGuider / OnlySeeker (no API for those). One row per day per platform.</t>
        </is>
      </c>
    </row>
    <row r="2">
      <c r="A2" s="7" t="inlineStr">
        <is>
          <t>Date</t>
        </is>
      </c>
      <c r="B2" s="7" t="inlineStr">
        <is>
          <t>Creator</t>
        </is>
      </c>
      <c r="C2" s="7" t="inlineStr">
        <is>
          <t>Platform</t>
        </is>
      </c>
      <c r="D2" s="7" t="inlineStr">
        <is>
          <t>Amount ($)</t>
        </is>
      </c>
    </row>
    <row r="3">
      <c r="A3" s="27" t="n"/>
      <c r="B3" s="14" t="n"/>
      <c r="C3" s="14" t="n"/>
      <c r="D3" s="28" t="n"/>
    </row>
    <row r="4">
      <c r="A4" s="27" t="n"/>
      <c r="B4" s="14" t="n"/>
      <c r="C4" s="14" t="n"/>
      <c r="D4" s="28" t="n"/>
    </row>
    <row r="5">
      <c r="A5" s="27" t="n"/>
      <c r="B5" s="14" t="n"/>
      <c r="C5" s="14" t="n"/>
      <c r="D5" s="28" t="n"/>
    </row>
    <row r="6">
      <c r="A6" s="27" t="n"/>
      <c r="B6" s="14" t="n"/>
      <c r="C6" s="14" t="n"/>
      <c r="D6" s="28" t="n"/>
    </row>
    <row r="7">
      <c r="A7" s="27" t="n"/>
      <c r="B7" s="14" t="n"/>
      <c r="C7" s="14" t="n"/>
      <c r="D7" s="28" t="n"/>
    </row>
    <row r="8">
      <c r="A8" s="27" t="n"/>
      <c r="B8" s="14" t="n"/>
      <c r="C8" s="14" t="n"/>
      <c r="D8" s="28" t="n"/>
    </row>
    <row r="9">
      <c r="A9" s="27" t="n"/>
      <c r="B9" s="14" t="n"/>
      <c r="C9" s="14" t="n"/>
      <c r="D9" s="28" t="n"/>
    </row>
    <row r="10">
      <c r="A10" s="27" t="n"/>
      <c r="B10" s="14" t="n"/>
      <c r="C10" s="14" t="n"/>
      <c r="D10" s="28" t="n"/>
    </row>
    <row r="11">
      <c r="A11" s="27" t="n"/>
      <c r="B11" s="14" t="n"/>
      <c r="C11" s="14" t="n"/>
      <c r="D11" s="28" t="n"/>
    </row>
    <row r="12">
      <c r="A12" s="27" t="n"/>
      <c r="B12" s="14" t="n"/>
      <c r="C12" s="14" t="n"/>
      <c r="D12" s="28" t="n"/>
    </row>
    <row r="13">
      <c r="A13" s="27" t="n"/>
      <c r="B13" s="14" t="n"/>
      <c r="C13" s="14" t="n"/>
      <c r="D13" s="28" t="n"/>
    </row>
    <row r="14">
      <c r="A14" s="27" t="n"/>
      <c r="B14" s="14" t="n"/>
      <c r="C14" s="14" t="n"/>
      <c r="D14" s="28" t="n"/>
    </row>
    <row r="15">
      <c r="A15" s="27" t="n"/>
      <c r="B15" s="14" t="n"/>
      <c r="C15" s="14" t="n"/>
      <c r="D15" s="28" t="n"/>
    </row>
    <row r="16">
      <c r="A16" s="27" t="n"/>
      <c r="B16" s="14" t="n"/>
      <c r="C16" s="14" t="n"/>
      <c r="D16" s="28" t="n"/>
    </row>
    <row r="17">
      <c r="A17" s="27" t="n"/>
      <c r="B17" s="14" t="n"/>
      <c r="C17" s="14" t="n"/>
      <c r="D17" s="28" t="n"/>
    </row>
    <row r="18">
      <c r="A18" s="27" t="n"/>
      <c r="B18" s="14" t="n"/>
      <c r="C18" s="14" t="n"/>
      <c r="D18" s="28" t="n"/>
    </row>
    <row r="19">
      <c r="A19" s="27" t="n"/>
      <c r="B19" s="14" t="n"/>
      <c r="C19" s="14" t="n"/>
      <c r="D19" s="28" t="n"/>
    </row>
    <row r="20">
      <c r="A20" s="27" t="n"/>
      <c r="B20" s="14" t="n"/>
      <c r="C20" s="14" t="n"/>
      <c r="D20" s="28" t="n"/>
    </row>
    <row r="21">
      <c r="A21" s="27" t="n"/>
      <c r="B21" s="14" t="n"/>
      <c r="C21" s="14" t="n"/>
      <c r="D21" s="28" t="n"/>
    </row>
    <row r="22">
      <c r="A22" s="27" t="n"/>
      <c r="B22" s="14" t="n"/>
      <c r="C22" s="14" t="n"/>
      <c r="D22" s="28" t="n"/>
    </row>
    <row r="23">
      <c r="A23" s="27" t="n"/>
      <c r="B23" s="14" t="n"/>
      <c r="C23" s="14" t="n"/>
      <c r="D23" s="28" t="n"/>
    </row>
    <row r="24">
      <c r="A24" s="27" t="n"/>
      <c r="B24" s="14" t="n"/>
      <c r="C24" s="14" t="n"/>
      <c r="D24" s="28" t="n"/>
    </row>
    <row r="25">
      <c r="A25" s="27" t="n"/>
      <c r="B25" s="14" t="n"/>
      <c r="C25" s="14" t="n"/>
      <c r="D25" s="28" t="n"/>
    </row>
    <row r="26">
      <c r="A26" s="27" t="n"/>
      <c r="B26" s="14" t="n"/>
      <c r="C26" s="14" t="n"/>
      <c r="D26" s="28" t="n"/>
    </row>
    <row r="27">
      <c r="A27" s="27" t="n"/>
      <c r="B27" s="14" t="n"/>
      <c r="C27" s="14" t="n"/>
      <c r="D27" s="28" t="n"/>
    </row>
    <row r="28">
      <c r="A28" s="27" t="n"/>
      <c r="B28" s="14" t="n"/>
      <c r="C28" s="14" t="n"/>
      <c r="D28" s="28" t="n"/>
    </row>
    <row r="29">
      <c r="A29" s="27" t="n"/>
      <c r="B29" s="14" t="n"/>
      <c r="C29" s="14" t="n"/>
      <c r="D29" s="28" t="n"/>
    </row>
    <row r="30">
      <c r="A30" s="27" t="n"/>
      <c r="B30" s="14" t="n"/>
      <c r="C30" s="14" t="n"/>
      <c r="D30" s="28" t="n"/>
    </row>
    <row r="31">
      <c r="A31" s="27" t="n"/>
      <c r="B31" s="14" t="n"/>
      <c r="C31" s="14" t="n"/>
      <c r="D31" s="28" t="n"/>
    </row>
    <row r="32">
      <c r="A32" s="27" t="n"/>
      <c r="B32" s="14" t="n"/>
      <c r="C32" s="14" t="n"/>
      <c r="D32" s="28" t="n"/>
    </row>
    <row r="33">
      <c r="A33" s="27" t="n"/>
      <c r="B33" s="14" t="n"/>
      <c r="C33" s="14" t="n"/>
      <c r="D33" s="28" t="n"/>
    </row>
    <row r="34">
      <c r="A34" s="27" t="n"/>
      <c r="B34" s="14" t="n"/>
      <c r="C34" s="14" t="n"/>
      <c r="D34" s="28" t="n"/>
    </row>
    <row r="35">
      <c r="A35" s="27" t="n"/>
      <c r="B35" s="14" t="n"/>
      <c r="C35" s="14" t="n"/>
      <c r="D35" s="28" t="n"/>
    </row>
    <row r="36">
      <c r="A36" s="27" t="n"/>
      <c r="B36" s="14" t="n"/>
      <c r="C36" s="14" t="n"/>
      <c r="D36" s="28" t="n"/>
    </row>
    <row r="37">
      <c r="A37" s="27" t="n"/>
      <c r="B37" s="14" t="n"/>
      <c r="C37" s="14" t="n"/>
      <c r="D37" s="28" t="n"/>
    </row>
    <row r="38">
      <c r="A38" s="27" t="n"/>
      <c r="B38" s="14" t="n"/>
      <c r="C38" s="14" t="n"/>
      <c r="D38" s="28" t="n"/>
    </row>
    <row r="39">
      <c r="A39" s="27" t="n"/>
      <c r="B39" s="14" t="n"/>
      <c r="C39" s="14" t="n"/>
      <c r="D39" s="28" t="n"/>
    </row>
    <row r="40">
      <c r="A40" s="27" t="n"/>
      <c r="B40" s="14" t="n"/>
      <c r="C40" s="14" t="n"/>
      <c r="D40" s="28" t="n"/>
    </row>
    <row r="41">
      <c r="A41" s="27" t="n"/>
      <c r="B41" s="14" t="n"/>
      <c r="C41" s="14" t="n"/>
      <c r="D41" s="28" t="n"/>
    </row>
    <row r="42">
      <c r="A42" s="27" t="n"/>
      <c r="B42" s="14" t="n"/>
      <c r="C42" s="14" t="n"/>
      <c r="D42" s="28" t="n"/>
    </row>
    <row r="43">
      <c r="A43" s="27" t="n"/>
      <c r="B43" s="14" t="n"/>
      <c r="C43" s="14" t="n"/>
      <c r="D43" s="28" t="n"/>
    </row>
    <row r="44">
      <c r="A44" s="27" t="n"/>
      <c r="B44" s="14" t="n"/>
      <c r="C44" s="14" t="n"/>
      <c r="D44" s="28" t="n"/>
    </row>
    <row r="45">
      <c r="A45" s="27" t="n"/>
      <c r="B45" s="14" t="n"/>
      <c r="C45" s="14" t="n"/>
      <c r="D45" s="28" t="n"/>
    </row>
    <row r="46">
      <c r="A46" s="27" t="n"/>
      <c r="B46" s="14" t="n"/>
      <c r="C46" s="14" t="n"/>
      <c r="D46" s="28" t="n"/>
    </row>
    <row r="47">
      <c r="A47" s="27" t="n"/>
      <c r="B47" s="14" t="n"/>
      <c r="C47" s="14" t="n"/>
      <c r="D47" s="28" t="n"/>
    </row>
    <row r="48">
      <c r="A48" s="27" t="n"/>
      <c r="B48" s="14" t="n"/>
      <c r="C48" s="14" t="n"/>
      <c r="D48" s="28" t="n"/>
    </row>
    <row r="49">
      <c r="A49" s="27" t="n"/>
      <c r="B49" s="14" t="n"/>
      <c r="C49" s="14" t="n"/>
      <c r="D49" s="28" t="n"/>
    </row>
    <row r="50">
      <c r="A50" s="27" t="n"/>
      <c r="B50" s="14" t="n"/>
      <c r="C50" s="14" t="n"/>
      <c r="D50" s="28" t="n"/>
    </row>
    <row r="51">
      <c r="A51" s="27" t="n"/>
      <c r="B51" s="14" t="n"/>
      <c r="C51" s="14" t="n"/>
      <c r="D51" s="28" t="n"/>
    </row>
    <row r="52">
      <c r="A52" s="27" t="n"/>
      <c r="B52" s="14" t="n"/>
      <c r="C52" s="14" t="n"/>
      <c r="D52" s="28" t="n"/>
    </row>
    <row r="53">
      <c r="A53" s="27" t="n"/>
      <c r="B53" s="14" t="n"/>
      <c r="C53" s="14" t="n"/>
      <c r="D53" s="28" t="n"/>
    </row>
    <row r="54">
      <c r="A54" s="27" t="n"/>
      <c r="B54" s="14" t="n"/>
      <c r="C54" s="14" t="n"/>
      <c r="D54" s="28" t="n"/>
    </row>
    <row r="55">
      <c r="A55" s="27" t="n"/>
      <c r="B55" s="14" t="n"/>
      <c r="C55" s="14" t="n"/>
      <c r="D55" s="28" t="n"/>
    </row>
    <row r="56">
      <c r="A56" s="27" t="n"/>
      <c r="B56" s="14" t="n"/>
      <c r="C56" s="14" t="n"/>
      <c r="D56" s="28" t="n"/>
    </row>
    <row r="57">
      <c r="A57" s="27" t="n"/>
      <c r="B57" s="14" t="n"/>
      <c r="C57" s="14" t="n"/>
      <c r="D57" s="28" t="n"/>
    </row>
    <row r="58">
      <c r="A58" s="27" t="n"/>
      <c r="B58" s="14" t="n"/>
      <c r="C58" s="14" t="n"/>
      <c r="D58" s="28" t="n"/>
    </row>
    <row r="59">
      <c r="A59" s="27" t="n"/>
      <c r="B59" s="14" t="n"/>
      <c r="C59" s="14" t="n"/>
      <c r="D59" s="28" t="n"/>
    </row>
    <row r="60">
      <c r="A60" s="27" t="n"/>
      <c r="B60" s="14" t="n"/>
      <c r="C60" s="14" t="n"/>
      <c r="D60" s="28" t="n"/>
    </row>
    <row r="61">
      <c r="A61" s="27" t="n"/>
      <c r="B61" s="14" t="n"/>
      <c r="C61" s="14" t="n"/>
      <c r="D61" s="28" t="n"/>
    </row>
    <row r="62">
      <c r="A62" s="27" t="n"/>
      <c r="B62" s="14" t="n"/>
      <c r="C62" s="14" t="n"/>
      <c r="D62" s="28" t="n"/>
    </row>
    <row r="63">
      <c r="A63" s="27" t="n"/>
      <c r="B63" s="14" t="n"/>
      <c r="C63" s="14" t="n"/>
      <c r="D63" s="28" t="n"/>
    </row>
    <row r="64">
      <c r="A64" s="27" t="n"/>
      <c r="B64" s="14" t="n"/>
      <c r="C64" s="14" t="n"/>
      <c r="D64" s="28" t="n"/>
    </row>
    <row r="65">
      <c r="A65" s="27" t="n"/>
      <c r="B65" s="14" t="n"/>
      <c r="C65" s="14" t="n"/>
      <c r="D65" s="28" t="n"/>
    </row>
    <row r="66">
      <c r="A66" s="27" t="n"/>
      <c r="B66" s="14" t="n"/>
      <c r="C66" s="14" t="n"/>
      <c r="D66" s="28" t="n"/>
    </row>
    <row r="67">
      <c r="A67" s="27" t="n"/>
      <c r="B67" s="14" t="n"/>
      <c r="C67" s="14" t="n"/>
      <c r="D67" s="28" t="n"/>
    </row>
    <row r="68">
      <c r="A68" s="27" t="n"/>
      <c r="B68" s="14" t="n"/>
      <c r="C68" s="14" t="n"/>
      <c r="D68" s="28" t="n"/>
    </row>
    <row r="69">
      <c r="A69" s="27" t="n"/>
      <c r="B69" s="14" t="n"/>
      <c r="C69" s="14" t="n"/>
      <c r="D69" s="28" t="n"/>
    </row>
    <row r="70">
      <c r="A70" s="27" t="n"/>
      <c r="B70" s="14" t="n"/>
      <c r="C70" s="14" t="n"/>
      <c r="D70" s="28" t="n"/>
    </row>
    <row r="71">
      <c r="A71" s="27" t="n"/>
      <c r="B71" s="14" t="n"/>
      <c r="C71" s="14" t="n"/>
      <c r="D71" s="28" t="n"/>
    </row>
    <row r="72">
      <c r="A72" s="27" t="n"/>
      <c r="B72" s="14" t="n"/>
      <c r="C72" s="14" t="n"/>
      <c r="D72" s="28" t="n"/>
    </row>
    <row r="73">
      <c r="A73" s="27" t="n"/>
      <c r="B73" s="14" t="n"/>
      <c r="C73" s="14" t="n"/>
      <c r="D73" s="28" t="n"/>
    </row>
    <row r="74">
      <c r="A74" s="27" t="n"/>
      <c r="B74" s="14" t="n"/>
      <c r="C74" s="14" t="n"/>
      <c r="D74" s="28" t="n"/>
    </row>
    <row r="75">
      <c r="A75" s="27" t="n"/>
      <c r="B75" s="14" t="n"/>
      <c r="C75" s="14" t="n"/>
      <c r="D75" s="28" t="n"/>
    </row>
    <row r="76">
      <c r="A76" s="27" t="n"/>
      <c r="B76" s="14" t="n"/>
      <c r="C76" s="14" t="n"/>
      <c r="D76" s="28" t="n"/>
    </row>
    <row r="77">
      <c r="A77" s="27" t="n"/>
      <c r="B77" s="14" t="n"/>
      <c r="C77" s="14" t="n"/>
      <c r="D77" s="28" t="n"/>
    </row>
    <row r="78">
      <c r="A78" s="27" t="n"/>
      <c r="B78" s="14" t="n"/>
      <c r="C78" s="14" t="n"/>
      <c r="D78" s="28" t="n"/>
    </row>
    <row r="79">
      <c r="A79" s="27" t="n"/>
      <c r="B79" s="14" t="n"/>
      <c r="C79" s="14" t="n"/>
      <c r="D79" s="28" t="n"/>
    </row>
    <row r="80">
      <c r="A80" s="27" t="n"/>
      <c r="B80" s="14" t="n"/>
      <c r="C80" s="14" t="n"/>
      <c r="D80" s="28" t="n"/>
    </row>
    <row r="81">
      <c r="A81" s="27" t="n"/>
      <c r="B81" s="14" t="n"/>
      <c r="C81" s="14" t="n"/>
      <c r="D81" s="28" t="n"/>
    </row>
    <row r="82">
      <c r="A82" s="27" t="n"/>
      <c r="B82" s="14" t="n"/>
      <c r="C82" s="14" t="n"/>
      <c r="D82" s="28" t="n"/>
    </row>
    <row r="83">
      <c r="A83" s="27" t="n"/>
      <c r="B83" s="14" t="n"/>
      <c r="C83" s="14" t="n"/>
      <c r="D83" s="28" t="n"/>
    </row>
    <row r="84">
      <c r="A84" s="27" t="n"/>
      <c r="B84" s="14" t="n"/>
      <c r="C84" s="14" t="n"/>
      <c r="D84" s="28" t="n"/>
    </row>
    <row r="85">
      <c r="A85" s="27" t="n"/>
      <c r="B85" s="14" t="n"/>
      <c r="C85" s="14" t="n"/>
      <c r="D85" s="28" t="n"/>
    </row>
    <row r="86">
      <c r="A86" s="27" t="n"/>
      <c r="B86" s="14" t="n"/>
      <c r="C86" s="14" t="n"/>
      <c r="D86" s="28" t="n"/>
    </row>
    <row r="87">
      <c r="A87" s="27" t="n"/>
      <c r="B87" s="14" t="n"/>
      <c r="C87" s="14" t="n"/>
      <c r="D87" s="28" t="n"/>
    </row>
    <row r="88">
      <c r="A88" s="27" t="n"/>
      <c r="B88" s="14" t="n"/>
      <c r="C88" s="14" t="n"/>
      <c r="D88" s="28" t="n"/>
    </row>
    <row r="89">
      <c r="A89" s="27" t="n"/>
      <c r="B89" s="14" t="n"/>
      <c r="C89" s="14" t="n"/>
      <c r="D89" s="28" t="n"/>
    </row>
    <row r="90">
      <c r="A90" s="27" t="n"/>
      <c r="B90" s="14" t="n"/>
      <c r="C90" s="14" t="n"/>
      <c r="D90" s="28" t="n"/>
    </row>
    <row r="91">
      <c r="A91" s="27" t="n"/>
      <c r="B91" s="14" t="n"/>
      <c r="C91" s="14" t="n"/>
      <c r="D91" s="28" t="n"/>
    </row>
    <row r="92">
      <c r="A92" s="27" t="n"/>
      <c r="B92" s="14" t="n"/>
      <c r="C92" s="14" t="n"/>
      <c r="D92" s="28" t="n"/>
    </row>
    <row r="93">
      <c r="A93" s="27" t="n"/>
      <c r="B93" s="14" t="n"/>
      <c r="C93" s="14" t="n"/>
      <c r="D93" s="28" t="n"/>
    </row>
    <row r="94">
      <c r="A94" s="27" t="n"/>
      <c r="B94" s="14" t="n"/>
      <c r="C94" s="14" t="n"/>
      <c r="D94" s="28" t="n"/>
    </row>
    <row r="95">
      <c r="A95" s="27" t="n"/>
      <c r="B95" s="14" t="n"/>
      <c r="C95" s="14" t="n"/>
      <c r="D95" s="28" t="n"/>
    </row>
    <row r="96">
      <c r="A96" s="27" t="n"/>
      <c r="B96" s="14" t="n"/>
      <c r="C96" s="14" t="n"/>
      <c r="D96" s="28" t="n"/>
    </row>
    <row r="97">
      <c r="A97" s="27" t="n"/>
      <c r="B97" s="14" t="n"/>
      <c r="C97" s="14" t="n"/>
      <c r="D97" s="28" t="n"/>
    </row>
    <row r="98">
      <c r="A98" s="27" t="n"/>
      <c r="B98" s="14" t="n"/>
      <c r="C98" s="14" t="n"/>
      <c r="D98" s="28" t="n"/>
    </row>
    <row r="99">
      <c r="A99" s="27" t="n"/>
      <c r="B99" s="14" t="n"/>
      <c r="C99" s="14" t="n"/>
      <c r="D99" s="28" t="n"/>
    </row>
    <row r="100">
      <c r="A100" s="27" t="n"/>
      <c r="B100" s="14" t="n"/>
      <c r="C100" s="14" t="n"/>
      <c r="D100" s="28" t="n"/>
    </row>
    <row r="101">
      <c r="A101" s="27" t="n"/>
      <c r="B101" s="14" t="n"/>
      <c r="C101" s="14" t="n"/>
      <c r="D101" s="28" t="n"/>
    </row>
    <row r="102">
      <c r="A102" s="27" t="n"/>
      <c r="B102" s="14" t="n"/>
      <c r="C102" s="14" t="n"/>
      <c r="D102" s="28" t="n"/>
    </row>
  </sheetData>
  <mergeCells count="1">
    <mergeCell ref="A1:E1"/>
  </mergeCells>
  <dataValidations count="1">
    <dataValidation sqref="C3:C102" showDropDown="0" showInputMessage="0" showErrorMessage="0" allowBlank="1" type="list">
      <formula1>"OnlyFinder,OnlyGuider,OnlySeeker"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4" customWidth="1" min="4" max="4"/>
    <col width="20" customWidth="1" min="5" max="5"/>
  </cols>
  <sheetData>
    <row r="1">
      <c r="A1" s="3" t="inlineStr">
        <is>
          <t>Sheet ID ▸</t>
        </is>
      </c>
      <c r="B1" s="5" t="inlineStr"/>
      <c r="C1" s="2" t="inlineStr">
        <is>
          <t>⬅ Paste this sheet's ID (the code in its URL between /d/ and /edit) to switch ON manual control. Leave blank = fully automatic.</t>
        </is>
      </c>
    </row>
    <row r="2">
      <c r="A2" s="26" t="inlineStr">
        <is>
          <t>LINK SETTINGS — leave Override BLANK to auto-detect by name. Or force a platform, or type Ignore to exclude a link.</t>
        </is>
      </c>
    </row>
    <row r="3">
      <c r="A3" s="7" t="inlineStr">
        <is>
          <t>Creator</t>
        </is>
      </c>
      <c r="B3" s="7" t="inlineStr">
        <is>
          <t>Tracking link</t>
        </is>
      </c>
      <c r="C3" s="7" t="inlineStr">
        <is>
          <t>Code</t>
        </is>
      </c>
      <c r="D3" s="7" t="inlineStr">
        <is>
          <t>Auto-detected</t>
        </is>
      </c>
      <c r="E3" s="7" t="inlineStr">
        <is>
          <t>Override (your choice)</t>
        </is>
      </c>
    </row>
    <row r="4">
      <c r="A4" s="10" t="inlineStr">
        <is>
          <t>Antonella</t>
        </is>
      </c>
      <c r="B4" s="10" t="inlineStr">
        <is>
          <t>onlyfinder 13/06</t>
        </is>
      </c>
      <c r="C4" s="14" t="inlineStr">
        <is>
          <t>4</t>
        </is>
      </c>
      <c r="D4" s="29" t="inlineStr">
        <is>
          <t>OnlyFinder</t>
        </is>
      </c>
      <c r="E4" s="30" t="inlineStr"/>
    </row>
    <row r="5">
      <c r="A5" s="10" t="inlineStr">
        <is>
          <t>Antonella</t>
        </is>
      </c>
      <c r="B5" s="10" t="inlineStr">
        <is>
          <t>ONLYSEEKER</t>
        </is>
      </c>
      <c r="C5" s="14" t="inlineStr">
        <is>
          <t>3</t>
        </is>
      </c>
      <c r="D5" s="29" t="inlineStr">
        <is>
          <t>OnlySeeker</t>
        </is>
      </c>
      <c r="E5" s="30" t="inlineStr"/>
    </row>
    <row r="6">
      <c r="A6" s="10" t="inlineStr">
        <is>
          <t>Antonella</t>
        </is>
      </c>
      <c r="B6" s="10" t="inlineStr">
        <is>
          <t>ONLYFINDER a</t>
        </is>
      </c>
      <c r="C6" s="14" t="inlineStr">
        <is>
          <t>2</t>
        </is>
      </c>
      <c r="D6" s="29" t="inlineStr">
        <is>
          <t>OnlyFinder</t>
        </is>
      </c>
      <c r="E6" s="30" t="inlineStr"/>
    </row>
    <row r="7">
      <c r="A7" s="10" t="inlineStr">
        <is>
          <t>Antonella</t>
        </is>
      </c>
      <c r="B7" s="10" t="inlineStr">
        <is>
          <t>ONLYGUIDER</t>
        </is>
      </c>
      <c r="C7" s="14" t="inlineStr">
        <is>
          <t>1</t>
        </is>
      </c>
      <c r="D7" s="29" t="inlineStr">
        <is>
          <t>OnlyGuider</t>
        </is>
      </c>
      <c r="E7" s="30" t="inlineStr"/>
    </row>
    <row r="8">
      <c r="A8" s="10" t="inlineStr">
        <is>
          <t>June - Sandra</t>
        </is>
      </c>
      <c r="B8" s="10" t="inlineStr">
        <is>
          <t>meta ads</t>
        </is>
      </c>
      <c r="C8" s="14" t="inlineStr">
        <is>
          <t>37</t>
        </is>
      </c>
      <c r="D8" s="29" t="inlineStr">
        <is>
          <t>Meta</t>
        </is>
      </c>
      <c r="E8" s="30" t="inlineStr"/>
    </row>
    <row r="9">
      <c r="A9" s="10" t="inlineStr">
        <is>
          <t>June - Sandra</t>
        </is>
      </c>
      <c r="B9" s="10" t="inlineStr">
        <is>
          <t>onlysearch</t>
        </is>
      </c>
      <c r="C9" s="14" t="inlineStr">
        <is>
          <t>4</t>
        </is>
      </c>
      <c r="D9" s="29" t="inlineStr">
        <is>
          <t>OnlyFinder</t>
        </is>
      </c>
      <c r="E9" s="30" t="inlineStr"/>
    </row>
    <row r="10">
      <c r="A10" s="10" t="inlineStr">
        <is>
          <t>June - Sandra</t>
        </is>
      </c>
      <c r="B10" s="10" t="inlineStr">
        <is>
          <t>Only Guider 1</t>
        </is>
      </c>
      <c r="C10" s="14" t="inlineStr">
        <is>
          <t>3</t>
        </is>
      </c>
      <c r="D10" s="29" t="inlineStr">
        <is>
          <t>OnlyGuider</t>
        </is>
      </c>
      <c r="E10" s="30" t="inlineStr"/>
    </row>
    <row r="11">
      <c r="A11" s="10" t="inlineStr">
        <is>
          <t>June - Sandra</t>
        </is>
      </c>
      <c r="B11" s="10" t="inlineStr">
        <is>
          <t>Onlyfinder 1</t>
        </is>
      </c>
      <c r="C11" s="14" t="inlineStr">
        <is>
          <t>2</t>
        </is>
      </c>
      <c r="D11" s="29" t="inlineStr">
        <is>
          <t>OnlyFinder</t>
        </is>
      </c>
      <c r="E11" s="30" t="inlineStr"/>
    </row>
    <row r="12">
      <c r="A12" s="10" t="inlineStr">
        <is>
          <t>June - Sandra</t>
        </is>
      </c>
      <c r="B12" s="10" t="inlineStr">
        <is>
          <t>Onlyguider</t>
        </is>
      </c>
      <c r="C12" s="14" t="inlineStr">
        <is>
          <t>1</t>
        </is>
      </c>
      <c r="D12" s="29" t="inlineStr">
        <is>
          <t>OnlyGuider</t>
        </is>
      </c>
      <c r="E12" s="30" t="inlineStr"/>
    </row>
    <row r="13">
      <c r="A13" s="10" t="inlineStr">
        <is>
          <t>Marissa munoz</t>
        </is>
      </c>
      <c r="B13" s="10" t="inlineStr">
        <is>
          <t>Onlyfinder new 04/05</t>
        </is>
      </c>
      <c r="C13" s="14" t="inlineStr">
        <is>
          <t>49</t>
        </is>
      </c>
      <c r="D13" s="29" t="inlineStr">
        <is>
          <t>OnlyFinder</t>
        </is>
      </c>
      <c r="E13" s="30" t="inlineStr"/>
    </row>
    <row r="14">
      <c r="A14" s="10" t="inlineStr">
        <is>
          <t>Marissa munoz</t>
        </is>
      </c>
      <c r="B14" s="10" t="inlineStr">
        <is>
          <t>onlyfinder Apr</t>
        </is>
      </c>
      <c r="C14" s="14" t="inlineStr">
        <is>
          <t>46</t>
        </is>
      </c>
      <c r="D14" s="29" t="inlineStr">
        <is>
          <t>OnlyFinder</t>
        </is>
      </c>
      <c r="E14" s="30" t="inlineStr"/>
    </row>
    <row r="15">
      <c r="A15" s="10" t="inlineStr">
        <is>
          <t>Marissa munoz</t>
        </is>
      </c>
      <c r="B15" s="10" t="inlineStr">
        <is>
          <t>Meta ads Gly's IG</t>
        </is>
      </c>
      <c r="C15" s="14" t="inlineStr">
        <is>
          <t>45</t>
        </is>
      </c>
      <c r="D15" s="29" t="inlineStr">
        <is>
          <t>Meta</t>
        </is>
      </c>
      <c r="E15" s="30" t="inlineStr"/>
    </row>
    <row r="16">
      <c r="A16" s="10" t="inlineStr">
        <is>
          <t>Marissa munoz</t>
        </is>
      </c>
      <c r="B16" s="10" t="inlineStr">
        <is>
          <t>Meta ads Finlay's IG</t>
        </is>
      </c>
      <c r="C16" s="14" t="inlineStr">
        <is>
          <t>44</t>
        </is>
      </c>
      <c r="D16" s="29" t="inlineStr">
        <is>
          <t>Meta</t>
        </is>
      </c>
      <c r="E16" s="30" t="inlineStr"/>
    </row>
    <row r="17">
      <c r="A17" s="10" t="inlineStr">
        <is>
          <t>Marissa munoz</t>
        </is>
      </c>
      <c r="B17" s="10" t="inlineStr">
        <is>
          <t>ONLYFINDER</t>
        </is>
      </c>
      <c r="C17" s="14" t="inlineStr">
        <is>
          <t>27</t>
        </is>
      </c>
      <c r="D17" s="29" t="inlineStr">
        <is>
          <t>OnlyFinder</t>
        </is>
      </c>
      <c r="E17" s="30" t="inlineStr"/>
    </row>
  </sheetData>
  <mergeCells count="2">
    <mergeCell ref="A2:E2"/>
    <mergeCell ref="C1:E1"/>
  </mergeCells>
  <dataValidations count="1">
    <dataValidation sqref="E4:E218" showDropDown="0" showInputMessage="0" showErrorMessage="0" allowBlank="1" type="list">
      <formula1>"Meta,OnlyFinder,OnlyGuider,OnlySeeker,Ignore"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2026-06-15T10:30:49Z</dcterms:created>
  <dcterms:modified xsi:type="dcterms:W3CDTF">2026-06-15T10:31:01Z</dcterms:modified>
</cp:coreProperties>
</file>