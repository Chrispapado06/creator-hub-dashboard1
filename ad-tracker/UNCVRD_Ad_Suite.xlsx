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ompare" sheetId="2" state="visible" r:id="rId2"/>
    <sheet name="Daily Breakdown" sheetId="3" state="visible" r:id="rId3"/>
    <sheet name="Scorecard" sheetId="4" state="visible" r:id="rId4"/>
    <sheet name="Manual Spend" sheetId="5" state="visible" r:id="rId5"/>
    <sheet name="Manual Clicks" sheetId="6" state="visible" r:id="rId6"/>
    <sheet name="Link Settings" sheetId="7" state="visible" r:id="rId7"/>
    <sheet name="Fe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0.0%"/>
    <numFmt numFmtId="167" formatCode="0.00&quot;x&quot;"/>
    <numFmt numFmtId="168" formatCode="mmm d"/>
  </numFmts>
  <fonts count="10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111111"/>
      <sz val="11"/>
    </font>
    <font>
      <color rgb="006B7280"/>
      <sz val="10"/>
    </font>
    <font>
      <b val="1"/>
      <color rgb="00FFFFFF"/>
      <sz val="12"/>
    </font>
    <font>
      <b val="1"/>
      <color rgb="00FFFFFF"/>
      <sz val="11"/>
    </font>
    <font>
      <color rgb="00111111"/>
      <sz val="11"/>
    </font>
    <font>
      <color rgb="006B7280"/>
      <sz val="11"/>
    </font>
    <font>
      <b val="1"/>
      <color rgb="00FFFFFF"/>
      <sz val="18"/>
    </font>
    <font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5B43F5"/>
      </patternFill>
    </fill>
    <fill>
      <patternFill patternType="solid">
        <fgColor rgb="00FFF6CC"/>
      </patternFill>
    </fill>
    <fill>
      <patternFill patternType="solid">
        <fgColor rgb="001F2430"/>
      </patternFill>
    </fill>
    <fill>
      <patternFill patternType="solid">
        <fgColor rgb="00F6F7FB"/>
      </patternFill>
    </fill>
    <fill>
      <patternFill patternType="solid">
        <fgColor rgb="00FCEFD7"/>
      </patternFill>
    </fill>
    <fill>
      <patternFill patternType="solid">
        <fgColor rgb="00EEF0F4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  <border>
      <left/>
      <right/>
      <top style="thin">
        <color rgb="00D5D9E0"/>
      </top>
      <bottom/>
      <diagonal/>
    </border>
    <border>
      <left/>
      <right style="thin">
        <color rgb="00D5D9E0"/>
      </right>
      <top style="thin">
        <color rgb="00D5D9E0"/>
      </top>
      <bottom/>
      <diagonal/>
    </border>
    <border>
      <left/>
      <right/>
      <top style="thin">
        <color rgb="00D5D9E0"/>
      </top>
      <bottom style="thin">
        <color rgb="00D5D9E0"/>
      </bottom>
      <diagonal/>
    </border>
    <border>
      <left/>
      <right style="thin">
        <color rgb="00D5D9E0"/>
      </right>
      <top style="thin">
        <color rgb="00D5D9E0"/>
      </top>
      <bottom style="thin">
        <color rgb="00D5D9E0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8" fontId="9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165" fontId="6" fillId="8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6" fillId="8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6" fillId="7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7" fontId="6" fillId="7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 ht="30" customHeight="1">
      <c r="A1" s="1" t="inlineStr">
        <is>
          <t>UNCVRD — AD SUITE</t>
        </is>
      </c>
    </row>
    <row r="2">
      <c r="A2" s="2" t="inlineStr">
        <is>
          <t>① Paste this sheet's ID here ▸</t>
        </is>
      </c>
      <c r="B2" s="3" t="inlineStr"/>
      <c r="C2" s="4" t="inlineStr">
        <is>
          <t>Copy the long code in this sheet's URL (between /d/ and /edit) and paste it in the yellow box. This switches ON the Manual Spend / Clicks / Link Settings tabs — the auto tabs already fill themselves.</t>
        </is>
      </c>
    </row>
    <row r="4">
      <c r="A4" s="5" t="inlineStr">
        <is>
          <t>WHAT EACH TAB IS FOR</t>
        </is>
      </c>
    </row>
    <row r="5">
      <c r="A5" s="6" t="inlineStr">
        <is>
          <t>Tab</t>
        </is>
      </c>
      <c r="B5" s="7" t="inlineStr">
        <is>
          <t>What it's for</t>
        </is>
      </c>
      <c r="C5" s="8" t="n"/>
      <c r="D5" s="8" t="n"/>
      <c r="E5" s="9" t="n"/>
      <c r="F5" s="6" t="inlineStr">
        <is>
          <t>You…</t>
        </is>
      </c>
    </row>
    <row r="6">
      <c r="A6" s="10" t="inlineStr">
        <is>
          <t>Compare</t>
        </is>
      </c>
      <c r="B6" s="11" t="inlineStr">
        <is>
          <t>Pick a date range → see every platform side by side. Your quick comparison view.</t>
        </is>
      </c>
      <c r="F6" s="12" t="inlineStr">
        <is>
          <t>just read</t>
        </is>
      </c>
    </row>
    <row r="7">
      <c r="A7" s="10" t="inlineStr">
        <is>
          <t>Daily Breakdown</t>
        </is>
      </c>
      <c r="B7" s="11" t="inlineStr">
        <is>
          <t>One row per day + platform, every metric. Newest on top. Auto.</t>
        </is>
      </c>
      <c r="F7" s="12" t="inlineStr">
        <is>
          <t>just read</t>
        </is>
      </c>
    </row>
    <row r="8">
      <c r="A8" s="10" t="inlineStr">
        <is>
          <t>Scorecard</t>
        </is>
      </c>
      <c r="B8" s="11" t="inlineStr">
        <is>
          <t>Weekly detail — pick a creator + week. Auto.</t>
        </is>
      </c>
      <c r="F8" s="12" t="inlineStr">
        <is>
          <t>just read</t>
        </is>
      </c>
    </row>
    <row r="9">
      <c r="A9" s="10" t="inlineStr">
        <is>
          <t>Manual Spend</t>
        </is>
      </c>
      <c r="B9" s="11" t="inlineStr">
        <is>
          <t>TYPE here: what you spent on OnlyFinder / OnlyGuider / OnlySeeker.</t>
        </is>
      </c>
      <c r="F9" s="13" t="inlineStr">
        <is>
          <t>TYPE</t>
        </is>
      </c>
    </row>
    <row r="10">
      <c r="A10" s="10" t="inlineStr">
        <is>
          <t>Manual Clicks</t>
        </is>
      </c>
      <c r="B10" s="11" t="inlineStr">
        <is>
          <t>TYPE here only to override a day's clicks (e.g. OnlyFinder's billed number).</t>
        </is>
      </c>
      <c r="F10" s="13" t="inlineStr">
        <is>
          <t>TYPE</t>
        </is>
      </c>
    </row>
    <row r="11">
      <c r="A11" s="10" t="inlineStr">
        <is>
          <t>Link Settings</t>
        </is>
      </c>
      <c r="B11" s="11" t="inlineStr">
        <is>
          <t>Force a link's platform, or 'Ignore' it. Blank = automatic.</t>
        </is>
      </c>
      <c r="F11" s="13" t="inlineStr">
        <is>
          <t>TYPE</t>
        </is>
      </c>
    </row>
    <row r="12">
      <c r="A12" s="10" t="inlineStr">
        <is>
          <t>Feed</t>
        </is>
      </c>
      <c r="B12" s="11" t="inlineStr">
        <is>
          <t>Raw auto data from the server. DON'T TOUCH.</t>
        </is>
      </c>
      <c r="F12" s="14" t="inlineStr">
        <is>
          <t>don't touch</t>
        </is>
      </c>
    </row>
  </sheetData>
  <mergeCells count="11">
    <mergeCell ref="B9:E9"/>
    <mergeCell ref="B8:E8"/>
    <mergeCell ref="B12:E12"/>
    <mergeCell ref="A1:F1"/>
    <mergeCell ref="B6:E6"/>
    <mergeCell ref="B7:E7"/>
    <mergeCell ref="B11:E11"/>
    <mergeCell ref="B5:E5"/>
    <mergeCell ref="A4:F4"/>
    <mergeCell ref="C2:F2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5" t="inlineStr">
        <is>
          <t>COMPARE PLATFORMS</t>
        </is>
      </c>
    </row>
    <row r="2">
      <c r="A2" s="16" t="inlineStr">
        <is>
          <t>Pick a date range — every platform's totals line up side by side. Reads from Daily Breakdown.</t>
        </is>
      </c>
    </row>
    <row r="3">
      <c r="A3" s="2" t="inlineStr">
        <is>
          <t>From ▸</t>
        </is>
      </c>
      <c r="B3" s="17" t="n">
        <v>46182</v>
      </c>
      <c r="C3" s="2" t="inlineStr">
        <is>
          <t>To ▸</t>
        </is>
      </c>
      <c r="D3" s="17" t="n">
        <v>46188</v>
      </c>
      <c r="F3" s="16" t="inlineStr">
        <is>
          <t>← change the range to compare any period</t>
        </is>
      </c>
    </row>
    <row r="4">
      <c r="A4" s="6" t="inlineStr">
        <is>
          <t>Platform</t>
        </is>
      </c>
      <c r="B4" s="6" t="inlineStr">
        <is>
          <t>Clicks</t>
        </is>
      </c>
      <c r="C4" s="6" t="inlineStr">
        <is>
          <t>Fans</t>
        </is>
      </c>
      <c r="D4" s="6" t="inlineStr">
        <is>
          <t>Spend</t>
        </is>
      </c>
      <c r="E4" s="6" t="inlineStr">
        <is>
          <t>CPC</t>
        </is>
      </c>
      <c r="F4" s="6" t="inlineStr">
        <is>
          <t>Cost / Fan</t>
        </is>
      </c>
      <c r="G4" s="6" t="inlineStr">
        <is>
          <t>CVR</t>
        </is>
      </c>
      <c r="H4" s="6" t="inlineStr">
        <is>
          <t>Revenue</t>
        </is>
      </c>
      <c r="I4" s="6" t="inlineStr">
        <is>
          <t>ROAS</t>
        </is>
      </c>
      <c r="J4" s="6" t="inlineStr">
        <is>
          <t>Profit</t>
        </is>
      </c>
    </row>
    <row r="5">
      <c r="A5" s="18" t="inlineStr">
        <is>
          <t>Meta</t>
        </is>
      </c>
      <c r="B5" s="19">
        <f>SUMIFS('Daily Breakdown'!$C:$C,'Daily Breakdown'!$N:$N,"&gt;="&amp;TEXT($B$3,"yyyy-mm-dd"),'Daily Breakdown'!$N:$N,"&lt;="&amp;TEXT($D$3,"yyyy-mm-dd"),'Daily Breakdown'!$B:$B,"Meta")</f>
        <v/>
      </c>
      <c r="C5" s="19">
        <f>SUMIFS('Daily Breakdown'!$D:$D,'Daily Breakdown'!$N:$N,"&gt;="&amp;TEXT($B$3,"yyyy-mm-dd"),'Daily Breakdown'!$N:$N,"&lt;="&amp;TEXT($D$3,"yyyy-mm-dd"),'Daily Breakdown'!$B:$B,"Meta")</f>
        <v/>
      </c>
      <c r="D5" s="20">
        <f>SUMIFS('Daily Breakdown'!$E:$E,'Daily Breakdown'!$N:$N,"&gt;="&amp;TEXT($B$3,"yyyy-mm-dd"),'Daily Breakdown'!$N:$N,"&lt;="&amp;TEXT($D$3,"yyyy-mm-dd"),'Daily Breakdown'!$B:$B,"Meta")</f>
        <v/>
      </c>
      <c r="E5" s="20">
        <f>IFERROR(D5/B5,"")</f>
        <v/>
      </c>
      <c r="F5" s="20">
        <f>IFERROR(D5/C5,"")</f>
        <v/>
      </c>
      <c r="G5" s="21">
        <f>IFERROR(C5/B5,"")</f>
        <v/>
      </c>
      <c r="H5" s="20">
        <f>SUMIFS('Daily Breakdown'!$I:$I,'Daily Breakdown'!$N:$N,"&gt;="&amp;TEXT($B$3,"yyyy-mm-dd"),'Daily Breakdown'!$N:$N,"&lt;="&amp;TEXT($D$3,"yyyy-mm-dd"),'Daily Breakdown'!$B:$B,"Meta")</f>
        <v/>
      </c>
      <c r="I5" s="22">
        <f>IFERROR(H5/D5,"")</f>
        <v/>
      </c>
      <c r="J5" s="20">
        <f>H5-D5</f>
        <v/>
      </c>
    </row>
    <row r="6">
      <c r="A6" s="18" t="inlineStr">
        <is>
          <t>OnlyFinder</t>
        </is>
      </c>
      <c r="B6" s="19">
        <f>SUMIFS('Daily Breakdown'!$C:$C,'Daily Breakdown'!$N:$N,"&gt;="&amp;TEXT($B$3,"yyyy-mm-dd"),'Daily Breakdown'!$N:$N,"&lt;="&amp;TEXT($D$3,"yyyy-mm-dd"),'Daily Breakdown'!$B:$B,"OnlyFinder")</f>
        <v/>
      </c>
      <c r="C6" s="19">
        <f>SUMIFS('Daily Breakdown'!$D:$D,'Daily Breakdown'!$N:$N,"&gt;="&amp;TEXT($B$3,"yyyy-mm-dd"),'Daily Breakdown'!$N:$N,"&lt;="&amp;TEXT($D$3,"yyyy-mm-dd"),'Daily Breakdown'!$B:$B,"OnlyFinder")</f>
        <v/>
      </c>
      <c r="D6" s="20">
        <f>SUMIFS('Daily Breakdown'!$E:$E,'Daily Breakdown'!$N:$N,"&gt;="&amp;TEXT($B$3,"yyyy-mm-dd"),'Daily Breakdown'!$N:$N,"&lt;="&amp;TEXT($D$3,"yyyy-mm-dd"),'Daily Breakdown'!$B:$B,"OnlyFinder")</f>
        <v/>
      </c>
      <c r="E6" s="20">
        <f>IFERROR(D6/B6,"")</f>
        <v/>
      </c>
      <c r="F6" s="20">
        <f>IFERROR(D6/C6,"")</f>
        <v/>
      </c>
      <c r="G6" s="21">
        <f>IFERROR(C6/B6,"")</f>
        <v/>
      </c>
      <c r="H6" s="20">
        <f>SUMIFS('Daily Breakdown'!$I:$I,'Daily Breakdown'!$N:$N,"&gt;="&amp;TEXT($B$3,"yyyy-mm-dd"),'Daily Breakdown'!$N:$N,"&lt;="&amp;TEXT($D$3,"yyyy-mm-dd"),'Daily Breakdown'!$B:$B,"OnlyFinder")</f>
        <v/>
      </c>
      <c r="I6" s="22">
        <f>IFERROR(H6/D6,"")</f>
        <v/>
      </c>
      <c r="J6" s="20">
        <f>H6-D6</f>
        <v/>
      </c>
    </row>
    <row r="7">
      <c r="A7" s="18" t="inlineStr">
        <is>
          <t>OnlyGuider</t>
        </is>
      </c>
      <c r="B7" s="19">
        <f>SUMIFS('Daily Breakdown'!$C:$C,'Daily Breakdown'!$N:$N,"&gt;="&amp;TEXT($B$3,"yyyy-mm-dd"),'Daily Breakdown'!$N:$N,"&lt;="&amp;TEXT($D$3,"yyyy-mm-dd"),'Daily Breakdown'!$B:$B,"OnlyGuider")</f>
        <v/>
      </c>
      <c r="C7" s="19">
        <f>SUMIFS('Daily Breakdown'!$D:$D,'Daily Breakdown'!$N:$N,"&gt;="&amp;TEXT($B$3,"yyyy-mm-dd"),'Daily Breakdown'!$N:$N,"&lt;="&amp;TEXT($D$3,"yyyy-mm-dd"),'Daily Breakdown'!$B:$B,"OnlyGuider")</f>
        <v/>
      </c>
      <c r="D7" s="20">
        <f>SUMIFS('Daily Breakdown'!$E:$E,'Daily Breakdown'!$N:$N,"&gt;="&amp;TEXT($B$3,"yyyy-mm-dd"),'Daily Breakdown'!$N:$N,"&lt;="&amp;TEXT($D$3,"yyyy-mm-dd"),'Daily Breakdown'!$B:$B,"OnlyGuider")</f>
        <v/>
      </c>
      <c r="E7" s="20">
        <f>IFERROR(D7/B7,"")</f>
        <v/>
      </c>
      <c r="F7" s="20">
        <f>IFERROR(D7/C7,"")</f>
        <v/>
      </c>
      <c r="G7" s="21">
        <f>IFERROR(C7/B7,"")</f>
        <v/>
      </c>
      <c r="H7" s="20">
        <f>SUMIFS('Daily Breakdown'!$I:$I,'Daily Breakdown'!$N:$N,"&gt;="&amp;TEXT($B$3,"yyyy-mm-dd"),'Daily Breakdown'!$N:$N,"&lt;="&amp;TEXT($D$3,"yyyy-mm-dd"),'Daily Breakdown'!$B:$B,"OnlyGuider")</f>
        <v/>
      </c>
      <c r="I7" s="22">
        <f>IFERROR(H7/D7,"")</f>
        <v/>
      </c>
      <c r="J7" s="20">
        <f>H7-D7</f>
        <v/>
      </c>
    </row>
    <row r="8">
      <c r="A8" s="18" t="inlineStr">
        <is>
          <t>OnlySeeker</t>
        </is>
      </c>
      <c r="B8" s="19">
        <f>SUMIFS('Daily Breakdown'!$C:$C,'Daily Breakdown'!$N:$N,"&gt;="&amp;TEXT($B$3,"yyyy-mm-dd"),'Daily Breakdown'!$N:$N,"&lt;="&amp;TEXT($D$3,"yyyy-mm-dd"),'Daily Breakdown'!$B:$B,"OnlySeeker")</f>
        <v/>
      </c>
      <c r="C8" s="19">
        <f>SUMIFS('Daily Breakdown'!$D:$D,'Daily Breakdown'!$N:$N,"&gt;="&amp;TEXT($B$3,"yyyy-mm-dd"),'Daily Breakdown'!$N:$N,"&lt;="&amp;TEXT($D$3,"yyyy-mm-dd"),'Daily Breakdown'!$B:$B,"OnlySeeker")</f>
        <v/>
      </c>
      <c r="D8" s="20">
        <f>SUMIFS('Daily Breakdown'!$E:$E,'Daily Breakdown'!$N:$N,"&gt;="&amp;TEXT($B$3,"yyyy-mm-dd"),'Daily Breakdown'!$N:$N,"&lt;="&amp;TEXT($D$3,"yyyy-mm-dd"),'Daily Breakdown'!$B:$B,"OnlySeeker")</f>
        <v/>
      </c>
      <c r="E8" s="20">
        <f>IFERROR(D8/B8,"")</f>
        <v/>
      </c>
      <c r="F8" s="20">
        <f>IFERROR(D8/C8,"")</f>
        <v/>
      </c>
      <c r="G8" s="21">
        <f>IFERROR(C8/B8,"")</f>
        <v/>
      </c>
      <c r="H8" s="20">
        <f>SUMIFS('Daily Breakdown'!$I:$I,'Daily Breakdown'!$N:$N,"&gt;="&amp;TEXT($B$3,"yyyy-mm-dd"),'Daily Breakdown'!$N:$N,"&lt;="&amp;TEXT($D$3,"yyyy-mm-dd"),'Daily Breakdown'!$B:$B,"OnlySeeker")</f>
        <v/>
      </c>
      <c r="I8" s="22">
        <f>IFERROR(H8/D8,"")</f>
        <v/>
      </c>
      <c r="J8" s="20">
        <f>H8-D8</f>
        <v/>
      </c>
    </row>
    <row r="9">
      <c r="A9" s="10" t="inlineStr">
        <is>
          <t>TOTAL</t>
        </is>
      </c>
      <c r="B9" s="19">
        <f>SUMIFS('Daily Breakdown'!$C:$C,'Daily Breakdown'!$N:$N,"&gt;="&amp;TEXT($B$3,"yyyy-mm-dd"),'Daily Breakdown'!$N:$N,"&lt;="&amp;TEXT($D$3,"yyyy-mm-dd"))</f>
        <v/>
      </c>
      <c r="C9" s="19">
        <f>SUMIFS('Daily Breakdown'!$D:$D,'Daily Breakdown'!$N:$N,"&gt;="&amp;TEXT($B$3,"yyyy-mm-dd"),'Daily Breakdown'!$N:$N,"&lt;="&amp;TEXT($D$3,"yyyy-mm-dd"))</f>
        <v/>
      </c>
      <c r="D9" s="20">
        <f>SUMIFS('Daily Breakdown'!$E:$E,'Daily Breakdown'!$N:$N,"&gt;="&amp;TEXT($B$3,"yyyy-mm-dd"),'Daily Breakdown'!$N:$N,"&lt;="&amp;TEXT($D$3,"yyyy-mm-dd"))</f>
        <v/>
      </c>
      <c r="E9" s="20">
        <f>IFERROR(D9/B9,"")</f>
        <v/>
      </c>
      <c r="F9" s="20">
        <f>IFERROR(D9/C9,"")</f>
        <v/>
      </c>
      <c r="G9" s="21">
        <f>IFERROR(C9/B9,"")</f>
        <v/>
      </c>
      <c r="H9" s="20">
        <f>SUMIFS('Daily Breakdown'!$I:$I,'Daily Breakdown'!$N:$N,"&gt;="&amp;TEXT($B$3,"yyyy-mm-dd"),'Daily Breakdown'!$N:$N,"&lt;="&amp;TEXT($D$3,"yyyy-mm-dd"))</f>
        <v/>
      </c>
      <c r="I9" s="22">
        <f>IFERROR(H9/D9,"")</f>
        <v/>
      </c>
      <c r="J9" s="20">
        <f>H9-D9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8" customWidth="1" min="4" max="4"/>
    <col width="10" customWidth="1" min="5" max="5"/>
    <col width="12" customWidth="1" min="6" max="6"/>
    <col width="9" customWidth="1" min="7" max="7"/>
    <col width="9" customWidth="1" min="8" max="8"/>
    <col width="14" customWidth="1" min="9" max="9"/>
    <col width="13" customWidth="1" min="10" max="10"/>
    <col width="9" customWidth="1" min="11" max="11"/>
    <col width="13" customWidth="1" min="12" max="12"/>
  </cols>
  <sheetData>
    <row r="1">
      <c r="A1">
        <f>IFERROR(IMPORTDATA("https://uncvrd-ad-suite.onrender.com/sheet-flat?key=uncvrd2026&amp;sheet="&amp;'Start Here'!$B$2),"")</f>
        <v/>
      </c>
      <c r="N1" s="6" t="inlineStr">
        <is>
          <t>DateKey</t>
        </is>
      </c>
      <c r="P1" s="23" t="inlineStr">
        <is>
          <t>One row per day + platform · newest on top · fills itself. (Spend columns need Manual Spend / Meta token.)</t>
        </is>
      </c>
    </row>
    <row r="2">
      <c r="N2">
        <f>ARRAYFORMULA(IF(LEN(A2:A100000)=0,"",TEXT(A2:A100000,"yyyy-mm-dd")))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" customWidth="1" min="11" max="11"/>
    <col width="8" customWidth="1" min="12" max="12"/>
    <col width="15" customWidth="1" min="13" max="13"/>
    <col width="22" customWidth="1" min="14" max="14"/>
  </cols>
  <sheetData>
    <row r="1" ht="26" customHeight="1">
      <c r="A1" s="15" t="inlineStr">
        <is>
          <t>UNCVRD — WEEKLY SCORECARD</t>
        </is>
      </c>
    </row>
    <row r="2">
      <c r="A2" s="16" t="inlineStr">
        <is>
          <t>Pick a Creator and a Week. Auto from the server. CPC ≤ $0.70, CVR ≥ 25%.</t>
        </is>
      </c>
    </row>
    <row r="3">
      <c r="B3" s="2" t="inlineStr">
        <is>
          <t>Week of (Sun) ▸</t>
        </is>
      </c>
      <c r="C3" s="17" t="n">
        <v>46187</v>
      </c>
      <c r="E3" s="2" t="inlineStr">
        <is>
          <t>Creator ▸</t>
        </is>
      </c>
      <c r="F3" s="3" t="inlineStr">
        <is>
          <t>All</t>
        </is>
      </c>
    </row>
    <row r="4">
      <c r="B4" s="7" t="inlineStr">
        <is>
          <t>METRIC</t>
        </is>
      </c>
      <c r="C4" s="6">
        <f>TEXT(C5,"ddd")</f>
        <v/>
      </c>
      <c r="D4" s="6">
        <f>TEXT(D5,"ddd")</f>
        <v/>
      </c>
      <c r="E4" s="6">
        <f>TEXT(E5,"ddd")</f>
        <v/>
      </c>
      <c r="F4" s="6">
        <f>TEXT(F5,"ddd")</f>
        <v/>
      </c>
      <c r="G4" s="6">
        <f>TEXT(G5,"ddd")</f>
        <v/>
      </c>
      <c r="H4" s="6">
        <f>TEXT(H5,"ddd")</f>
        <v/>
      </c>
      <c r="I4" s="6">
        <f>TEXT(I5,"ddd")</f>
        <v/>
      </c>
      <c r="J4" s="6" t="inlineStr">
        <is>
          <t>Avg/day</t>
        </is>
      </c>
      <c r="K4" s="6" t="inlineStr">
        <is>
          <t>Target</t>
        </is>
      </c>
      <c r="L4" s="6" t="inlineStr">
        <is>
          <t>Status</t>
        </is>
      </c>
      <c r="M4" s="6" t="inlineStr">
        <is>
          <t>Source</t>
        </is>
      </c>
      <c r="N4" s="6" t="inlineStr">
        <is>
          <t>Notes</t>
        </is>
      </c>
    </row>
    <row r="5">
      <c r="C5" s="24">
        <f>$C$3+0</f>
        <v/>
      </c>
      <c r="D5" s="24">
        <f>$C$3+1</f>
        <v/>
      </c>
      <c r="E5" s="24">
        <f>$C$3+2</f>
        <v/>
      </c>
      <c r="F5" s="24">
        <f>$C$3+3</f>
        <v/>
      </c>
      <c r="G5" s="24">
        <f>$C$3+4</f>
        <v/>
      </c>
      <c r="H5" s="24">
        <f>$C$3+5</f>
        <v/>
      </c>
      <c r="I5" s="24">
        <f>$C$3+6</f>
        <v/>
      </c>
    </row>
    <row r="6">
      <c r="A6" s="25" t="inlineStr">
        <is>
          <t>SPEND</t>
        </is>
      </c>
    </row>
    <row r="7">
      <c r="B7" s="18" t="inlineStr">
        <is>
          <t>Ad Spend — Meta</t>
        </is>
      </c>
      <c r="C7" s="26">
        <f>SUMIFS(Feed!$C:$C,Feed!$U:$U,TEXT(C$5,"yyyy-mm-dd"),Feed!$B:$B,IF($F$3="All","*",$F$3))</f>
        <v/>
      </c>
      <c r="D7" s="26">
        <f>SUMIFS(Feed!$C:$C,Feed!$U:$U,TEXT(D$5,"yyyy-mm-dd"),Feed!$B:$B,IF($F$3="All","*",$F$3))</f>
        <v/>
      </c>
      <c r="E7" s="26">
        <f>SUMIFS(Feed!$C:$C,Feed!$U:$U,TEXT(E$5,"yyyy-mm-dd"),Feed!$B:$B,IF($F$3="All","*",$F$3))</f>
        <v/>
      </c>
      <c r="F7" s="26">
        <f>SUMIFS(Feed!$C:$C,Feed!$U:$U,TEXT(F$5,"yyyy-mm-dd"),Feed!$B:$B,IF($F$3="All","*",$F$3))</f>
        <v/>
      </c>
      <c r="G7" s="26">
        <f>SUMIFS(Feed!$C:$C,Feed!$U:$U,TEXT(G$5,"yyyy-mm-dd"),Feed!$B:$B,IF($F$3="All","*",$F$3))</f>
        <v/>
      </c>
      <c r="H7" s="26">
        <f>SUMIFS(Feed!$C:$C,Feed!$U:$U,TEXT(H$5,"yyyy-mm-dd"),Feed!$B:$B,IF($F$3="All","*",$F$3))</f>
        <v/>
      </c>
      <c r="I7" s="26">
        <f>SUMIFS(Feed!$C:$C,Feed!$U:$U,TEXT(I$5,"yyyy-mm-dd"),Feed!$B:$B,IF($F$3="All","*",$F$3))</f>
        <v/>
      </c>
      <c r="J7" s="27">
        <f>IFERROR(AVERAGE(C7:I7),"")</f>
        <v/>
      </c>
      <c r="K7" s="28" t="inlineStr"/>
      <c r="L7" s="29" t="inlineStr"/>
      <c r="M7" s="30" t="inlineStr">
        <is>
          <t>Meta API</t>
        </is>
      </c>
      <c r="N7" s="31" t="inlineStr">
        <is>
          <t>auto</t>
        </is>
      </c>
    </row>
    <row r="8">
      <c r="B8" s="18" t="inlineStr">
        <is>
          <t>Ad Spend — OnlyFinder</t>
        </is>
      </c>
      <c r="C8" s="26">
        <f>SUMIFS(Feed!$D:$D,Feed!$U:$U,TEXT(C$5,"yyyy-mm-dd"),Feed!$B:$B,IF($F$3="All","*",$F$3))</f>
        <v/>
      </c>
      <c r="D8" s="26">
        <f>SUMIFS(Feed!$D:$D,Feed!$U:$U,TEXT(D$5,"yyyy-mm-dd"),Feed!$B:$B,IF($F$3="All","*",$F$3))</f>
        <v/>
      </c>
      <c r="E8" s="26">
        <f>SUMIFS(Feed!$D:$D,Feed!$U:$U,TEXT(E$5,"yyyy-mm-dd"),Feed!$B:$B,IF($F$3="All","*",$F$3))</f>
        <v/>
      </c>
      <c r="F8" s="26">
        <f>SUMIFS(Feed!$D:$D,Feed!$U:$U,TEXT(F$5,"yyyy-mm-dd"),Feed!$B:$B,IF($F$3="All","*",$F$3))</f>
        <v/>
      </c>
      <c r="G8" s="26">
        <f>SUMIFS(Feed!$D:$D,Feed!$U:$U,TEXT(G$5,"yyyy-mm-dd"),Feed!$B:$B,IF($F$3="All","*",$F$3))</f>
        <v/>
      </c>
      <c r="H8" s="26">
        <f>SUMIFS(Feed!$D:$D,Feed!$U:$U,TEXT(H$5,"yyyy-mm-dd"),Feed!$B:$B,IF($F$3="All","*",$F$3))</f>
        <v/>
      </c>
      <c r="I8" s="26">
        <f>SUMIFS(Feed!$D:$D,Feed!$U:$U,TEXT(I$5,"yyyy-mm-dd"),Feed!$B:$B,IF($F$3="All","*",$F$3))</f>
        <v/>
      </c>
      <c r="J8" s="27">
        <f>IFERROR(AVERAGE(C8:I8),"")</f>
        <v/>
      </c>
      <c r="K8" s="28" t="inlineStr"/>
      <c r="L8" s="29" t="inlineStr"/>
      <c r="M8" s="30" t="inlineStr">
        <is>
          <t>Manual Spend tab</t>
        </is>
      </c>
      <c r="N8" s="31" t="inlineStr"/>
    </row>
    <row r="9">
      <c r="B9" s="18" t="inlineStr">
        <is>
          <t>Ad Spend — OnlyGuider</t>
        </is>
      </c>
      <c r="C9" s="26">
        <f>SUMIFS(Feed!$E:$E,Feed!$U:$U,TEXT(C$5,"yyyy-mm-dd"),Feed!$B:$B,IF($F$3="All","*",$F$3))</f>
        <v/>
      </c>
      <c r="D9" s="26">
        <f>SUMIFS(Feed!$E:$E,Feed!$U:$U,TEXT(D$5,"yyyy-mm-dd"),Feed!$B:$B,IF($F$3="All","*",$F$3))</f>
        <v/>
      </c>
      <c r="E9" s="26">
        <f>SUMIFS(Feed!$E:$E,Feed!$U:$U,TEXT(E$5,"yyyy-mm-dd"),Feed!$B:$B,IF($F$3="All","*",$F$3))</f>
        <v/>
      </c>
      <c r="F9" s="26">
        <f>SUMIFS(Feed!$E:$E,Feed!$U:$U,TEXT(F$5,"yyyy-mm-dd"),Feed!$B:$B,IF($F$3="All","*",$F$3))</f>
        <v/>
      </c>
      <c r="G9" s="26">
        <f>SUMIFS(Feed!$E:$E,Feed!$U:$U,TEXT(G$5,"yyyy-mm-dd"),Feed!$B:$B,IF($F$3="All","*",$F$3))</f>
        <v/>
      </c>
      <c r="H9" s="26">
        <f>SUMIFS(Feed!$E:$E,Feed!$U:$U,TEXT(H$5,"yyyy-mm-dd"),Feed!$B:$B,IF($F$3="All","*",$F$3))</f>
        <v/>
      </c>
      <c r="I9" s="26">
        <f>SUMIFS(Feed!$E:$E,Feed!$U:$U,TEXT(I$5,"yyyy-mm-dd"),Feed!$B:$B,IF($F$3="All","*",$F$3))</f>
        <v/>
      </c>
      <c r="J9" s="27">
        <f>IFERROR(AVERAGE(C9:I9),"")</f>
        <v/>
      </c>
      <c r="K9" s="28" t="inlineStr"/>
      <c r="L9" s="29" t="inlineStr"/>
      <c r="M9" s="30" t="inlineStr">
        <is>
          <t>Manual Spend tab</t>
        </is>
      </c>
      <c r="N9" s="31" t="inlineStr"/>
    </row>
    <row r="10">
      <c r="B10" s="18" t="inlineStr">
        <is>
          <t>Ad Spend — OnlySeeker</t>
        </is>
      </c>
      <c r="C10" s="26">
        <f>SUMIFS(Feed!$F:$F,Feed!$U:$U,TEXT(C$5,"yyyy-mm-dd"),Feed!$B:$B,IF($F$3="All","*",$F$3))</f>
        <v/>
      </c>
      <c r="D10" s="26">
        <f>SUMIFS(Feed!$F:$F,Feed!$U:$U,TEXT(D$5,"yyyy-mm-dd"),Feed!$B:$B,IF($F$3="All","*",$F$3))</f>
        <v/>
      </c>
      <c r="E10" s="26">
        <f>SUMIFS(Feed!$F:$F,Feed!$U:$U,TEXT(E$5,"yyyy-mm-dd"),Feed!$B:$B,IF($F$3="All","*",$F$3))</f>
        <v/>
      </c>
      <c r="F10" s="26">
        <f>SUMIFS(Feed!$F:$F,Feed!$U:$U,TEXT(F$5,"yyyy-mm-dd"),Feed!$B:$B,IF($F$3="All","*",$F$3))</f>
        <v/>
      </c>
      <c r="G10" s="26">
        <f>SUMIFS(Feed!$F:$F,Feed!$U:$U,TEXT(G$5,"yyyy-mm-dd"),Feed!$B:$B,IF($F$3="All","*",$F$3))</f>
        <v/>
      </c>
      <c r="H10" s="26">
        <f>SUMIFS(Feed!$F:$F,Feed!$U:$U,TEXT(H$5,"yyyy-mm-dd"),Feed!$B:$B,IF($F$3="All","*",$F$3))</f>
        <v/>
      </c>
      <c r="I10" s="26">
        <f>SUMIFS(Feed!$F:$F,Feed!$U:$U,TEXT(I$5,"yyyy-mm-dd"),Feed!$B:$B,IF($F$3="All","*",$F$3))</f>
        <v/>
      </c>
      <c r="J10" s="27">
        <f>IFERROR(AVERAGE(C10:I10),"")</f>
        <v/>
      </c>
      <c r="K10" s="28" t="inlineStr"/>
      <c r="L10" s="29" t="inlineStr"/>
      <c r="M10" s="30" t="inlineStr">
        <is>
          <t>Manual Spend tab</t>
        </is>
      </c>
      <c r="N10" s="31" t="inlineStr"/>
    </row>
    <row r="11">
      <c r="B11" s="10" t="inlineStr">
        <is>
          <t>Total Ad Spend</t>
        </is>
      </c>
      <c r="C11" s="27">
        <f>SUM(C7:C10)</f>
        <v/>
      </c>
      <c r="D11" s="27">
        <f>SUM(D7:D10)</f>
        <v/>
      </c>
      <c r="E11" s="27">
        <f>SUM(E7:E10)</f>
        <v/>
      </c>
      <c r="F11" s="27">
        <f>SUM(F7:F10)</f>
        <v/>
      </c>
      <c r="G11" s="27">
        <f>SUM(G7:G10)</f>
        <v/>
      </c>
      <c r="H11" s="27">
        <f>SUM(H7:H10)</f>
        <v/>
      </c>
      <c r="I11" s="27">
        <f>SUM(I7:I10)</f>
        <v/>
      </c>
      <c r="J11" s="27">
        <f>IFERROR(AVERAGE(C11:I11),"")</f>
        <v/>
      </c>
      <c r="K11" s="28" t="inlineStr"/>
      <c r="L11" s="29" t="inlineStr"/>
      <c r="M11" s="30" t="inlineStr">
        <is>
          <t>Formula</t>
        </is>
      </c>
      <c r="N11" s="31" t="inlineStr"/>
    </row>
    <row r="12">
      <c r="A12" s="25" t="inlineStr">
        <is>
          <t>TRAFFIC</t>
        </is>
      </c>
    </row>
    <row r="13">
      <c r="B13" s="18" t="inlineStr">
        <is>
          <t>Clicks — Meta</t>
        </is>
      </c>
      <c r="C13" s="32">
        <f>SUMIFS(Feed!$G:$G,Feed!$U:$U,TEXT(C$5,"yyyy-mm-dd"),Feed!$B:$B,IF($F$3="All","*",$F$3))</f>
        <v/>
      </c>
      <c r="D13" s="32">
        <f>SUMIFS(Feed!$G:$G,Feed!$U:$U,TEXT(D$5,"yyyy-mm-dd"),Feed!$B:$B,IF($F$3="All","*",$F$3))</f>
        <v/>
      </c>
      <c r="E13" s="32">
        <f>SUMIFS(Feed!$G:$G,Feed!$U:$U,TEXT(E$5,"yyyy-mm-dd"),Feed!$B:$B,IF($F$3="All","*",$F$3))</f>
        <v/>
      </c>
      <c r="F13" s="32">
        <f>SUMIFS(Feed!$G:$G,Feed!$U:$U,TEXT(F$5,"yyyy-mm-dd"),Feed!$B:$B,IF($F$3="All","*",$F$3))</f>
        <v/>
      </c>
      <c r="G13" s="32">
        <f>SUMIFS(Feed!$G:$G,Feed!$U:$U,TEXT(G$5,"yyyy-mm-dd"),Feed!$B:$B,IF($F$3="All","*",$F$3))</f>
        <v/>
      </c>
      <c r="H13" s="32">
        <f>SUMIFS(Feed!$G:$G,Feed!$U:$U,TEXT(H$5,"yyyy-mm-dd"),Feed!$B:$B,IF($F$3="All","*",$F$3))</f>
        <v/>
      </c>
      <c r="I13" s="32">
        <f>SUMIFS(Feed!$G:$G,Feed!$U:$U,TEXT(I$5,"yyyy-mm-dd"),Feed!$B:$B,IF($F$3="All","*",$F$3))</f>
        <v/>
      </c>
      <c r="J13" s="33">
        <f>IFERROR(AVERAGE(C13:I13),"")</f>
        <v/>
      </c>
      <c r="K13" s="28" t="inlineStr"/>
      <c r="L13" s="29" t="inlineStr"/>
      <c r="M13" s="30" t="inlineStr">
        <is>
          <t>OnlyFans API</t>
        </is>
      </c>
      <c r="N13" s="31" t="inlineStr"/>
    </row>
    <row r="14">
      <c r="B14" s="18" t="inlineStr">
        <is>
          <t>Clicks — OnlyFinder</t>
        </is>
      </c>
      <c r="C14" s="32">
        <f>SUMIFS(Feed!$H:$H,Feed!$U:$U,TEXT(C$5,"yyyy-mm-dd"),Feed!$B:$B,IF($F$3="All","*",$F$3))</f>
        <v/>
      </c>
      <c r="D14" s="32">
        <f>SUMIFS(Feed!$H:$H,Feed!$U:$U,TEXT(D$5,"yyyy-mm-dd"),Feed!$B:$B,IF($F$3="All","*",$F$3))</f>
        <v/>
      </c>
      <c r="E14" s="32">
        <f>SUMIFS(Feed!$H:$H,Feed!$U:$U,TEXT(E$5,"yyyy-mm-dd"),Feed!$B:$B,IF($F$3="All","*",$F$3))</f>
        <v/>
      </c>
      <c r="F14" s="32">
        <f>SUMIFS(Feed!$H:$H,Feed!$U:$U,TEXT(F$5,"yyyy-mm-dd"),Feed!$B:$B,IF($F$3="All","*",$F$3))</f>
        <v/>
      </c>
      <c r="G14" s="32">
        <f>SUMIFS(Feed!$H:$H,Feed!$U:$U,TEXT(G$5,"yyyy-mm-dd"),Feed!$B:$B,IF($F$3="All","*",$F$3))</f>
        <v/>
      </c>
      <c r="H14" s="32">
        <f>SUMIFS(Feed!$H:$H,Feed!$U:$U,TEXT(H$5,"yyyy-mm-dd"),Feed!$B:$B,IF($F$3="All","*",$F$3))</f>
        <v/>
      </c>
      <c r="I14" s="32">
        <f>SUMIFS(Feed!$H:$H,Feed!$U:$U,TEXT(I$5,"yyyy-mm-dd"),Feed!$B:$B,IF($F$3="All","*",$F$3))</f>
        <v/>
      </c>
      <c r="J14" s="33">
        <f>IFERROR(AVERAGE(C14:I14),"")</f>
        <v/>
      </c>
      <c r="K14" s="28" t="inlineStr"/>
      <c r="L14" s="29" t="inlineStr"/>
      <c r="M14" s="30" t="inlineStr">
        <is>
          <t>OnlyFans API</t>
        </is>
      </c>
      <c r="N14" s="31" t="inlineStr"/>
    </row>
    <row r="15">
      <c r="B15" s="18" t="inlineStr">
        <is>
          <t>Clicks — OnlyGuider</t>
        </is>
      </c>
      <c r="C15" s="32">
        <f>SUMIFS(Feed!$I:$I,Feed!$U:$U,TEXT(C$5,"yyyy-mm-dd"),Feed!$B:$B,IF($F$3="All","*",$F$3))</f>
        <v/>
      </c>
      <c r="D15" s="32">
        <f>SUMIFS(Feed!$I:$I,Feed!$U:$U,TEXT(D$5,"yyyy-mm-dd"),Feed!$B:$B,IF($F$3="All","*",$F$3))</f>
        <v/>
      </c>
      <c r="E15" s="32">
        <f>SUMIFS(Feed!$I:$I,Feed!$U:$U,TEXT(E$5,"yyyy-mm-dd"),Feed!$B:$B,IF($F$3="All","*",$F$3))</f>
        <v/>
      </c>
      <c r="F15" s="32">
        <f>SUMIFS(Feed!$I:$I,Feed!$U:$U,TEXT(F$5,"yyyy-mm-dd"),Feed!$B:$B,IF($F$3="All","*",$F$3))</f>
        <v/>
      </c>
      <c r="G15" s="32">
        <f>SUMIFS(Feed!$I:$I,Feed!$U:$U,TEXT(G$5,"yyyy-mm-dd"),Feed!$B:$B,IF($F$3="All","*",$F$3))</f>
        <v/>
      </c>
      <c r="H15" s="32">
        <f>SUMIFS(Feed!$I:$I,Feed!$U:$U,TEXT(H$5,"yyyy-mm-dd"),Feed!$B:$B,IF($F$3="All","*",$F$3))</f>
        <v/>
      </c>
      <c r="I15" s="32">
        <f>SUMIFS(Feed!$I:$I,Feed!$U:$U,TEXT(I$5,"yyyy-mm-dd"),Feed!$B:$B,IF($F$3="All","*",$F$3))</f>
        <v/>
      </c>
      <c r="J15" s="33">
        <f>IFERROR(AVERAGE(C15:I15),"")</f>
        <v/>
      </c>
      <c r="K15" s="28" t="inlineStr"/>
      <c r="L15" s="29" t="inlineStr"/>
      <c r="M15" s="30" t="inlineStr">
        <is>
          <t>OnlyFans API</t>
        </is>
      </c>
      <c r="N15" s="31" t="inlineStr"/>
    </row>
    <row r="16">
      <c r="B16" s="18" t="inlineStr">
        <is>
          <t>Clicks — OnlySeeker</t>
        </is>
      </c>
      <c r="C16" s="32">
        <f>SUMIFS(Feed!$J:$J,Feed!$U:$U,TEXT(C$5,"yyyy-mm-dd"),Feed!$B:$B,IF($F$3="All","*",$F$3))</f>
        <v/>
      </c>
      <c r="D16" s="32">
        <f>SUMIFS(Feed!$J:$J,Feed!$U:$U,TEXT(D$5,"yyyy-mm-dd"),Feed!$B:$B,IF($F$3="All","*",$F$3))</f>
        <v/>
      </c>
      <c r="E16" s="32">
        <f>SUMIFS(Feed!$J:$J,Feed!$U:$U,TEXT(E$5,"yyyy-mm-dd"),Feed!$B:$B,IF($F$3="All","*",$F$3))</f>
        <v/>
      </c>
      <c r="F16" s="32">
        <f>SUMIFS(Feed!$J:$J,Feed!$U:$U,TEXT(F$5,"yyyy-mm-dd"),Feed!$B:$B,IF($F$3="All","*",$F$3))</f>
        <v/>
      </c>
      <c r="G16" s="32">
        <f>SUMIFS(Feed!$J:$J,Feed!$U:$U,TEXT(G$5,"yyyy-mm-dd"),Feed!$B:$B,IF($F$3="All","*",$F$3))</f>
        <v/>
      </c>
      <c r="H16" s="32">
        <f>SUMIFS(Feed!$J:$J,Feed!$U:$U,TEXT(H$5,"yyyy-mm-dd"),Feed!$B:$B,IF($F$3="All","*",$F$3))</f>
        <v/>
      </c>
      <c r="I16" s="32">
        <f>SUMIFS(Feed!$J:$J,Feed!$U:$U,TEXT(I$5,"yyyy-mm-dd"),Feed!$B:$B,IF($F$3="All","*",$F$3))</f>
        <v/>
      </c>
      <c r="J16" s="33">
        <f>IFERROR(AVERAGE(C16:I16),"")</f>
        <v/>
      </c>
      <c r="K16" s="28" t="inlineStr"/>
      <c r="L16" s="29" t="inlineStr"/>
      <c r="M16" s="30" t="inlineStr">
        <is>
          <t>OnlyFans API</t>
        </is>
      </c>
      <c r="N16" s="31" t="inlineStr"/>
    </row>
    <row r="17">
      <c r="B17" s="10" t="inlineStr">
        <is>
          <t>Total Clicks</t>
        </is>
      </c>
      <c r="C17" s="33">
        <f>SUM(C13:C16)</f>
        <v/>
      </c>
      <c r="D17" s="33">
        <f>SUM(D13:D16)</f>
        <v/>
      </c>
      <c r="E17" s="33">
        <f>SUM(E13:E16)</f>
        <v/>
      </c>
      <c r="F17" s="33">
        <f>SUM(F13:F16)</f>
        <v/>
      </c>
      <c r="G17" s="33">
        <f>SUM(G13:G16)</f>
        <v/>
      </c>
      <c r="H17" s="33">
        <f>SUM(H13:H16)</f>
        <v/>
      </c>
      <c r="I17" s="33">
        <f>SUM(I13:I16)</f>
        <v/>
      </c>
      <c r="J17" s="33">
        <f>IFERROR(AVERAGE(C17:I17),"")</f>
        <v/>
      </c>
      <c r="K17" s="28" t="inlineStr"/>
      <c r="L17" s="29" t="inlineStr"/>
      <c r="M17" s="30" t="inlineStr">
        <is>
          <t>Formula</t>
        </is>
      </c>
      <c r="N17" s="31" t="inlineStr"/>
    </row>
    <row r="18">
      <c r="B18" s="18" t="inlineStr">
        <is>
          <t>CPC — Meta</t>
        </is>
      </c>
      <c r="C18" s="27">
        <f>IFERROR(C7/C13,"")</f>
        <v/>
      </c>
      <c r="D18" s="27">
        <f>IFERROR(D7/D13,"")</f>
        <v/>
      </c>
      <c r="E18" s="27">
        <f>IFERROR(E7/E13,"")</f>
        <v/>
      </c>
      <c r="F18" s="27">
        <f>IFERROR(F7/F13,"")</f>
        <v/>
      </c>
      <c r="G18" s="27">
        <f>IFERROR(G7/G13,"")</f>
        <v/>
      </c>
      <c r="H18" s="27">
        <f>IFERROR(H7/H13,"")</f>
        <v/>
      </c>
      <c r="I18" s="27">
        <f>IFERROR(I7/I13,"")</f>
        <v/>
      </c>
      <c r="J18" s="27">
        <f>IFERROR(AVERAGE(C18:I18),"")</f>
        <v/>
      </c>
      <c r="K18" s="34" t="n">
        <v>0.7</v>
      </c>
      <c r="L18" s="29">
        <f>IF(N(J18)=0,"",IF(J18&lt;=K18,"✅","⚠️"))</f>
        <v/>
      </c>
      <c r="M18" s="30" t="inlineStr">
        <is>
          <t>Formula</t>
        </is>
      </c>
      <c r="N18" s="31" t="inlineStr">
        <is>
          <t>≤ $0.70</t>
        </is>
      </c>
    </row>
    <row r="19">
      <c r="B19" s="18" t="inlineStr">
        <is>
          <t>CPC — OnlyFinder</t>
        </is>
      </c>
      <c r="C19" s="27">
        <f>IFERROR(C8/C14,"")</f>
        <v/>
      </c>
      <c r="D19" s="27">
        <f>IFERROR(D8/D14,"")</f>
        <v/>
      </c>
      <c r="E19" s="27">
        <f>IFERROR(E8/E14,"")</f>
        <v/>
      </c>
      <c r="F19" s="27">
        <f>IFERROR(F8/F14,"")</f>
        <v/>
      </c>
      <c r="G19" s="27">
        <f>IFERROR(G8/G14,"")</f>
        <v/>
      </c>
      <c r="H19" s="27">
        <f>IFERROR(H8/H14,"")</f>
        <v/>
      </c>
      <c r="I19" s="27">
        <f>IFERROR(I8/I14,"")</f>
        <v/>
      </c>
      <c r="J19" s="27">
        <f>IFERROR(AVERAGE(C19:I19),"")</f>
        <v/>
      </c>
      <c r="K19" s="34" t="n">
        <v>0.7</v>
      </c>
      <c r="L19" s="29">
        <f>IF(N(J19)=0,"",IF(J19&lt;=K19,"✅","⚠️"))</f>
        <v/>
      </c>
      <c r="M19" s="30" t="inlineStr">
        <is>
          <t>Formula</t>
        </is>
      </c>
      <c r="N19" s="31" t="inlineStr">
        <is>
          <t>≤ $0.70</t>
        </is>
      </c>
    </row>
    <row r="20">
      <c r="B20" s="18" t="inlineStr">
        <is>
          <t>Blended CPC</t>
        </is>
      </c>
      <c r="C20" s="27">
        <f>IFERROR(C11/C17,"")</f>
        <v/>
      </c>
      <c r="D20" s="27">
        <f>IFERROR(D11/D17,"")</f>
        <v/>
      </c>
      <c r="E20" s="27">
        <f>IFERROR(E11/E17,"")</f>
        <v/>
      </c>
      <c r="F20" s="27">
        <f>IFERROR(F11/F17,"")</f>
        <v/>
      </c>
      <c r="G20" s="27">
        <f>IFERROR(G11/G17,"")</f>
        <v/>
      </c>
      <c r="H20" s="27">
        <f>IFERROR(H11/H17,"")</f>
        <v/>
      </c>
      <c r="I20" s="27">
        <f>IFERROR(I11/I17,"")</f>
        <v/>
      </c>
      <c r="J20" s="27">
        <f>IFERROR(AVERAGE(C20:I20),"")</f>
        <v/>
      </c>
      <c r="K20" s="34" t="n">
        <v>0.7</v>
      </c>
      <c r="L20" s="29">
        <f>IF(N(J20)=0,"",IF(J20&lt;=K20,"✅","⚠️"))</f>
        <v/>
      </c>
      <c r="M20" s="30" t="inlineStr">
        <is>
          <t>Formula</t>
        </is>
      </c>
      <c r="N20" s="31" t="inlineStr"/>
    </row>
    <row r="21">
      <c r="A21" s="25" t="inlineStr">
        <is>
          <t>FANS (CONVERSIONS)</t>
        </is>
      </c>
    </row>
    <row r="22">
      <c r="B22" s="18" t="inlineStr">
        <is>
          <t>New Fans — Meta</t>
        </is>
      </c>
      <c r="C22" s="32">
        <f>SUMIFS(Feed!$K:$K,Feed!$U:$U,TEXT(C$5,"yyyy-mm-dd"),Feed!$B:$B,IF($F$3="All","*",$F$3))</f>
        <v/>
      </c>
      <c r="D22" s="32">
        <f>SUMIFS(Feed!$K:$K,Feed!$U:$U,TEXT(D$5,"yyyy-mm-dd"),Feed!$B:$B,IF($F$3="All","*",$F$3))</f>
        <v/>
      </c>
      <c r="E22" s="32">
        <f>SUMIFS(Feed!$K:$K,Feed!$U:$U,TEXT(E$5,"yyyy-mm-dd"),Feed!$B:$B,IF($F$3="All","*",$F$3))</f>
        <v/>
      </c>
      <c r="F22" s="32">
        <f>SUMIFS(Feed!$K:$K,Feed!$U:$U,TEXT(F$5,"yyyy-mm-dd"),Feed!$B:$B,IF($F$3="All","*",$F$3))</f>
        <v/>
      </c>
      <c r="G22" s="32">
        <f>SUMIFS(Feed!$K:$K,Feed!$U:$U,TEXT(G$5,"yyyy-mm-dd"),Feed!$B:$B,IF($F$3="All","*",$F$3))</f>
        <v/>
      </c>
      <c r="H22" s="32">
        <f>SUMIFS(Feed!$K:$K,Feed!$U:$U,TEXT(H$5,"yyyy-mm-dd"),Feed!$B:$B,IF($F$3="All","*",$F$3))</f>
        <v/>
      </c>
      <c r="I22" s="32">
        <f>SUMIFS(Feed!$K:$K,Feed!$U:$U,TEXT(I$5,"yyyy-mm-dd"),Feed!$B:$B,IF($F$3="All","*",$F$3))</f>
        <v/>
      </c>
      <c r="J22" s="33">
        <f>IFERROR(AVERAGE(C22:I22),"")</f>
        <v/>
      </c>
      <c r="K22" s="28" t="inlineStr"/>
      <c r="L22" s="29" t="inlineStr"/>
      <c r="M22" s="30" t="inlineStr">
        <is>
          <t>OnlyFans API</t>
        </is>
      </c>
      <c r="N22" s="31" t="inlineStr">
        <is>
          <t>links named meta</t>
        </is>
      </c>
    </row>
    <row r="23">
      <c r="B23" s="18" t="inlineStr">
        <is>
          <t>New Fans — OnlyFinder</t>
        </is>
      </c>
      <c r="C23" s="32">
        <f>SUMIFS(Feed!$L:$L,Feed!$U:$U,TEXT(C$5,"yyyy-mm-dd"),Feed!$B:$B,IF($F$3="All","*",$F$3))</f>
        <v/>
      </c>
      <c r="D23" s="32">
        <f>SUMIFS(Feed!$L:$L,Feed!$U:$U,TEXT(D$5,"yyyy-mm-dd"),Feed!$B:$B,IF($F$3="All","*",$F$3))</f>
        <v/>
      </c>
      <c r="E23" s="32">
        <f>SUMIFS(Feed!$L:$L,Feed!$U:$U,TEXT(E$5,"yyyy-mm-dd"),Feed!$B:$B,IF($F$3="All","*",$F$3))</f>
        <v/>
      </c>
      <c r="F23" s="32">
        <f>SUMIFS(Feed!$L:$L,Feed!$U:$U,TEXT(F$5,"yyyy-mm-dd"),Feed!$B:$B,IF($F$3="All","*",$F$3))</f>
        <v/>
      </c>
      <c r="G23" s="32">
        <f>SUMIFS(Feed!$L:$L,Feed!$U:$U,TEXT(G$5,"yyyy-mm-dd"),Feed!$B:$B,IF($F$3="All","*",$F$3))</f>
        <v/>
      </c>
      <c r="H23" s="32">
        <f>SUMIFS(Feed!$L:$L,Feed!$U:$U,TEXT(H$5,"yyyy-mm-dd"),Feed!$B:$B,IF($F$3="All","*",$F$3))</f>
        <v/>
      </c>
      <c r="I23" s="32">
        <f>SUMIFS(Feed!$L:$L,Feed!$U:$U,TEXT(I$5,"yyyy-mm-dd"),Feed!$B:$B,IF($F$3="All","*",$F$3))</f>
        <v/>
      </c>
      <c r="J23" s="33">
        <f>IFERROR(AVERAGE(C23:I23),"")</f>
        <v/>
      </c>
      <c r="K23" s="28" t="inlineStr"/>
      <c r="L23" s="29" t="inlineStr"/>
      <c r="M23" s="30" t="inlineStr">
        <is>
          <t>OnlyFans API</t>
        </is>
      </c>
      <c r="N23" s="31" t="inlineStr"/>
    </row>
    <row r="24">
      <c r="B24" s="18" t="inlineStr">
        <is>
          <t>New Fans — OnlyGuider</t>
        </is>
      </c>
      <c r="C24" s="32">
        <f>SUMIFS(Feed!$M:$M,Feed!$U:$U,TEXT(C$5,"yyyy-mm-dd"),Feed!$B:$B,IF($F$3="All","*",$F$3))</f>
        <v/>
      </c>
      <c r="D24" s="32">
        <f>SUMIFS(Feed!$M:$M,Feed!$U:$U,TEXT(D$5,"yyyy-mm-dd"),Feed!$B:$B,IF($F$3="All","*",$F$3))</f>
        <v/>
      </c>
      <c r="E24" s="32">
        <f>SUMIFS(Feed!$M:$M,Feed!$U:$U,TEXT(E$5,"yyyy-mm-dd"),Feed!$B:$B,IF($F$3="All","*",$F$3))</f>
        <v/>
      </c>
      <c r="F24" s="32">
        <f>SUMIFS(Feed!$M:$M,Feed!$U:$U,TEXT(F$5,"yyyy-mm-dd"),Feed!$B:$B,IF($F$3="All","*",$F$3))</f>
        <v/>
      </c>
      <c r="G24" s="32">
        <f>SUMIFS(Feed!$M:$M,Feed!$U:$U,TEXT(G$5,"yyyy-mm-dd"),Feed!$B:$B,IF($F$3="All","*",$F$3))</f>
        <v/>
      </c>
      <c r="H24" s="32">
        <f>SUMIFS(Feed!$M:$M,Feed!$U:$U,TEXT(H$5,"yyyy-mm-dd"),Feed!$B:$B,IF($F$3="All","*",$F$3))</f>
        <v/>
      </c>
      <c r="I24" s="32">
        <f>SUMIFS(Feed!$M:$M,Feed!$U:$U,TEXT(I$5,"yyyy-mm-dd"),Feed!$B:$B,IF($F$3="All","*",$F$3))</f>
        <v/>
      </c>
      <c r="J24" s="33">
        <f>IFERROR(AVERAGE(C24:I24),"")</f>
        <v/>
      </c>
      <c r="K24" s="28" t="inlineStr"/>
      <c r="L24" s="29" t="inlineStr"/>
      <c r="M24" s="30" t="inlineStr">
        <is>
          <t>OnlyFans API</t>
        </is>
      </c>
      <c r="N24" s="31" t="inlineStr"/>
    </row>
    <row r="25">
      <c r="B25" s="18" t="inlineStr">
        <is>
          <t>New Fans — OnlySeeker</t>
        </is>
      </c>
      <c r="C25" s="32">
        <f>SUMIFS(Feed!$N:$N,Feed!$U:$U,TEXT(C$5,"yyyy-mm-dd"),Feed!$B:$B,IF($F$3="All","*",$F$3))</f>
        <v/>
      </c>
      <c r="D25" s="32">
        <f>SUMIFS(Feed!$N:$N,Feed!$U:$U,TEXT(D$5,"yyyy-mm-dd"),Feed!$B:$B,IF($F$3="All","*",$F$3))</f>
        <v/>
      </c>
      <c r="E25" s="32">
        <f>SUMIFS(Feed!$N:$N,Feed!$U:$U,TEXT(E$5,"yyyy-mm-dd"),Feed!$B:$B,IF($F$3="All","*",$F$3))</f>
        <v/>
      </c>
      <c r="F25" s="32">
        <f>SUMIFS(Feed!$N:$N,Feed!$U:$U,TEXT(F$5,"yyyy-mm-dd"),Feed!$B:$B,IF($F$3="All","*",$F$3))</f>
        <v/>
      </c>
      <c r="G25" s="32">
        <f>SUMIFS(Feed!$N:$N,Feed!$U:$U,TEXT(G$5,"yyyy-mm-dd"),Feed!$B:$B,IF($F$3="All","*",$F$3))</f>
        <v/>
      </c>
      <c r="H25" s="32">
        <f>SUMIFS(Feed!$N:$N,Feed!$U:$U,TEXT(H$5,"yyyy-mm-dd"),Feed!$B:$B,IF($F$3="All","*",$F$3))</f>
        <v/>
      </c>
      <c r="I25" s="32">
        <f>SUMIFS(Feed!$N:$N,Feed!$U:$U,TEXT(I$5,"yyyy-mm-dd"),Feed!$B:$B,IF($F$3="All","*",$F$3))</f>
        <v/>
      </c>
      <c r="J25" s="33">
        <f>IFERROR(AVERAGE(C25:I25),"")</f>
        <v/>
      </c>
      <c r="K25" s="28" t="inlineStr"/>
      <c r="L25" s="29" t="inlineStr"/>
      <c r="M25" s="30" t="inlineStr">
        <is>
          <t>OnlyFans API</t>
        </is>
      </c>
      <c r="N25" s="31" t="inlineStr"/>
    </row>
    <row r="26">
      <c r="B26" s="10" t="inlineStr">
        <is>
          <t>Total New Fans</t>
        </is>
      </c>
      <c r="C26" s="33">
        <f>SUM(C22:C25)</f>
        <v/>
      </c>
      <c r="D26" s="33">
        <f>SUM(D22:D25)</f>
        <v/>
      </c>
      <c r="E26" s="33">
        <f>SUM(E22:E25)</f>
        <v/>
      </c>
      <c r="F26" s="33">
        <f>SUM(F22:F25)</f>
        <v/>
      </c>
      <c r="G26" s="33">
        <f>SUM(G22:G25)</f>
        <v/>
      </c>
      <c r="H26" s="33">
        <f>SUM(H22:H25)</f>
        <v/>
      </c>
      <c r="I26" s="33">
        <f>SUM(I22:I25)</f>
        <v/>
      </c>
      <c r="J26" s="33">
        <f>IFERROR(AVERAGE(C26:I26),"")</f>
        <v/>
      </c>
      <c r="K26" s="28" t="inlineStr"/>
      <c r="L26" s="29" t="inlineStr"/>
      <c r="M26" s="30" t="inlineStr">
        <is>
          <t>Formula</t>
        </is>
      </c>
      <c r="N26" s="31" t="inlineStr"/>
    </row>
    <row r="27">
      <c r="B27" s="18" t="inlineStr">
        <is>
          <t>Subscription CVR — Meta</t>
        </is>
      </c>
      <c r="C27" s="35">
        <f>IFERROR(C22/C13,"")</f>
        <v/>
      </c>
      <c r="D27" s="35">
        <f>IFERROR(D22/D13,"")</f>
        <v/>
      </c>
      <c r="E27" s="35">
        <f>IFERROR(E22/E13,"")</f>
        <v/>
      </c>
      <c r="F27" s="35">
        <f>IFERROR(F22/F13,"")</f>
        <v/>
      </c>
      <c r="G27" s="35">
        <f>IFERROR(G22/G13,"")</f>
        <v/>
      </c>
      <c r="H27" s="35">
        <f>IFERROR(H22/H13,"")</f>
        <v/>
      </c>
      <c r="I27" s="35">
        <f>IFERROR(I22/I13,"")</f>
        <v/>
      </c>
      <c r="J27" s="35">
        <f>IFERROR(AVERAGE(C27:I27),"")</f>
        <v/>
      </c>
      <c r="K27" s="36" t="n">
        <v>0.25</v>
      </c>
      <c r="L27" s="29">
        <f>IF(N(J27)=0,"",IF(J27&gt;=K27,"✅","⚠️"))</f>
        <v/>
      </c>
      <c r="M27" s="30" t="inlineStr">
        <is>
          <t>Formula</t>
        </is>
      </c>
      <c r="N27" s="31" t="inlineStr">
        <is>
          <t>≥ 25% else split-test</t>
        </is>
      </c>
    </row>
    <row r="28">
      <c r="B28" s="18" t="inlineStr">
        <is>
          <t>Subscription CVR — Blended</t>
        </is>
      </c>
      <c r="C28" s="35">
        <f>IFERROR(C26/C17,"")</f>
        <v/>
      </c>
      <c r="D28" s="35">
        <f>IFERROR(D26/D17,"")</f>
        <v/>
      </c>
      <c r="E28" s="35">
        <f>IFERROR(E26/E17,"")</f>
        <v/>
      </c>
      <c r="F28" s="35">
        <f>IFERROR(F26/F17,"")</f>
        <v/>
      </c>
      <c r="G28" s="35">
        <f>IFERROR(G26/G17,"")</f>
        <v/>
      </c>
      <c r="H28" s="35">
        <f>IFERROR(H26/H17,"")</f>
        <v/>
      </c>
      <c r="I28" s="35">
        <f>IFERROR(I26/I17,"")</f>
        <v/>
      </c>
      <c r="J28" s="35">
        <f>IFERROR(AVERAGE(C28:I28),"")</f>
        <v/>
      </c>
      <c r="K28" s="36" t="n">
        <v>0.25</v>
      </c>
      <c r="L28" s="29">
        <f>IF(N(J28)=0,"",IF(J28&gt;=K28,"✅","⚠️"))</f>
        <v/>
      </c>
      <c r="M28" s="30" t="inlineStr">
        <is>
          <t>Formula</t>
        </is>
      </c>
      <c r="N28" s="31" t="inlineStr"/>
    </row>
    <row r="29">
      <c r="B29" s="18" t="inlineStr">
        <is>
          <t>Cost per Fan (CAC)</t>
        </is>
      </c>
      <c r="C29" s="27">
        <f>IFERROR(C11/C26,"")</f>
        <v/>
      </c>
      <c r="D29" s="27">
        <f>IFERROR(D11/D26,"")</f>
        <v/>
      </c>
      <c r="E29" s="27">
        <f>IFERROR(E11/E26,"")</f>
        <v/>
      </c>
      <c r="F29" s="27">
        <f>IFERROR(F11/F26,"")</f>
        <v/>
      </c>
      <c r="G29" s="27">
        <f>IFERROR(G11/G26,"")</f>
        <v/>
      </c>
      <c r="H29" s="27">
        <f>IFERROR(H11/H26,"")</f>
        <v/>
      </c>
      <c r="I29" s="27">
        <f>IFERROR(I11/I26,"")</f>
        <v/>
      </c>
      <c r="J29" s="27">
        <f>IFERROR(AVERAGE(C29:I29),"")</f>
        <v/>
      </c>
      <c r="K29" s="28" t="inlineStr"/>
      <c r="L29" s="29" t="inlineStr"/>
      <c r="M29" s="30" t="inlineStr">
        <is>
          <t>Formula</t>
        </is>
      </c>
      <c r="N29" s="31" t="inlineStr"/>
    </row>
    <row r="30">
      <c r="A30" s="25" t="inlineStr">
        <is>
          <t>REVENUE</t>
        </is>
      </c>
    </row>
    <row r="31">
      <c r="B31" s="18" t="inlineStr">
        <is>
          <t>Revenue</t>
        </is>
      </c>
      <c r="C31" s="26">
        <f>SUMIFS(Feed!$O:$O,Feed!$U:$U,TEXT(C$5,"yyyy-mm-dd"),Feed!$B:$B,IF($F$3="All","*",$F$3))</f>
        <v/>
      </c>
      <c r="D31" s="26">
        <f>SUMIFS(Feed!$O:$O,Feed!$U:$U,TEXT(D$5,"yyyy-mm-dd"),Feed!$B:$B,IF($F$3="All","*",$F$3))</f>
        <v/>
      </c>
      <c r="E31" s="26">
        <f>SUMIFS(Feed!$O:$O,Feed!$U:$U,TEXT(E$5,"yyyy-mm-dd"),Feed!$B:$B,IF($F$3="All","*",$F$3))</f>
        <v/>
      </c>
      <c r="F31" s="26">
        <f>SUMIFS(Feed!$O:$O,Feed!$U:$U,TEXT(F$5,"yyyy-mm-dd"),Feed!$B:$B,IF($F$3="All","*",$F$3))</f>
        <v/>
      </c>
      <c r="G31" s="26">
        <f>SUMIFS(Feed!$O:$O,Feed!$U:$U,TEXT(G$5,"yyyy-mm-dd"),Feed!$B:$B,IF($F$3="All","*",$F$3))</f>
        <v/>
      </c>
      <c r="H31" s="26">
        <f>SUMIFS(Feed!$O:$O,Feed!$U:$U,TEXT(H$5,"yyyy-mm-dd"),Feed!$B:$B,IF($F$3="All","*",$F$3))</f>
        <v/>
      </c>
      <c r="I31" s="26">
        <f>SUMIFS(Feed!$O:$O,Feed!$U:$U,TEXT(I$5,"yyyy-mm-dd"),Feed!$B:$B,IF($F$3="All","*",$F$3))</f>
        <v/>
      </c>
      <c r="J31" s="27">
        <f>IFERROR(AVERAGE(C31:I31),"")</f>
        <v/>
      </c>
      <c r="K31" s="28" t="inlineStr"/>
      <c r="L31" s="29" t="inlineStr"/>
      <c r="M31" s="30" t="inlineStr">
        <is>
          <t>OnlyFans API</t>
        </is>
      </c>
      <c r="N31" s="31" t="inlineStr"/>
    </row>
    <row r="32">
      <c r="B32" s="18" t="inlineStr">
        <is>
          <t>Revenue per Fan (LTV)</t>
        </is>
      </c>
      <c r="C32" s="27">
        <f>IFERROR(C31/C26,"")</f>
        <v/>
      </c>
      <c r="D32" s="27">
        <f>IFERROR(D31/D26,"")</f>
        <v/>
      </c>
      <c r="E32" s="27">
        <f>IFERROR(E31/E26,"")</f>
        <v/>
      </c>
      <c r="F32" s="27">
        <f>IFERROR(F31/F26,"")</f>
        <v/>
      </c>
      <c r="G32" s="27">
        <f>IFERROR(G31/G26,"")</f>
        <v/>
      </c>
      <c r="H32" s="27">
        <f>IFERROR(H31/H26,"")</f>
        <v/>
      </c>
      <c r="I32" s="27">
        <f>IFERROR(I31/I26,"")</f>
        <v/>
      </c>
      <c r="J32" s="27">
        <f>IFERROR(AVERAGE(C32:I32),"")</f>
        <v/>
      </c>
      <c r="K32" s="28" t="inlineStr"/>
      <c r="L32" s="29" t="inlineStr"/>
      <c r="M32" s="30" t="inlineStr">
        <is>
          <t>Formula</t>
        </is>
      </c>
      <c r="N32" s="31" t="inlineStr"/>
    </row>
    <row r="33">
      <c r="B33" s="18" t="inlineStr">
        <is>
          <t>ROAS</t>
        </is>
      </c>
      <c r="C33" s="37">
        <f>IFERROR(C31/C11,"")</f>
        <v/>
      </c>
      <c r="D33" s="37">
        <f>IFERROR(D31/D11,"")</f>
        <v/>
      </c>
      <c r="E33" s="37">
        <f>IFERROR(E31/E11,"")</f>
        <v/>
      </c>
      <c r="F33" s="37">
        <f>IFERROR(F31/F11,"")</f>
        <v/>
      </c>
      <c r="G33" s="37">
        <f>IFERROR(G31/G11,"")</f>
        <v/>
      </c>
      <c r="H33" s="37">
        <f>IFERROR(H31/H11,"")</f>
        <v/>
      </c>
      <c r="I33" s="37">
        <f>IFERROR(I31/I11,"")</f>
        <v/>
      </c>
      <c r="J33" s="37">
        <f>IFERROR(AVERAGE(C33:I33),"")</f>
        <v/>
      </c>
      <c r="K33" s="38" t="n">
        <v>2</v>
      </c>
      <c r="L33" s="29">
        <f>IF(N(J33)=0,"",IF(J33&gt;=K33,"✅","⚠️"))</f>
        <v/>
      </c>
      <c r="M33" s="30" t="inlineStr">
        <is>
          <t>Formula</t>
        </is>
      </c>
      <c r="N33" s="31" t="inlineStr">
        <is>
          <t>≥2x scale · &lt;1x cut</t>
        </is>
      </c>
    </row>
    <row r="34">
      <c r="B34" s="10" t="inlineStr">
        <is>
          <t>Profit</t>
        </is>
      </c>
      <c r="C34" s="27">
        <f>C31-C11</f>
        <v/>
      </c>
      <c r="D34" s="27">
        <f>D31-D11</f>
        <v/>
      </c>
      <c r="E34" s="27">
        <f>E31-E11</f>
        <v/>
      </c>
      <c r="F34" s="27">
        <f>F31-F11</f>
        <v/>
      </c>
      <c r="G34" s="27">
        <f>G31-G11</f>
        <v/>
      </c>
      <c r="H34" s="27">
        <f>H31-H11</f>
        <v/>
      </c>
      <c r="I34" s="27">
        <f>I31-I11</f>
        <v/>
      </c>
      <c r="J34" s="27">
        <f>IFERROR(AVERAGE(C34:I34),"")</f>
        <v/>
      </c>
      <c r="K34" s="28" t="inlineStr"/>
      <c r="L34" s="29" t="inlineStr"/>
      <c r="M34" s="30" t="inlineStr">
        <is>
          <t>Formula</t>
        </is>
      </c>
      <c r="N34" s="31" t="inlineStr"/>
    </row>
  </sheetData>
  <mergeCells count="12">
    <mergeCell ref="M4:M5"/>
    <mergeCell ref="B4:B5"/>
    <mergeCell ref="A6:N6"/>
    <mergeCell ref="A12:N12"/>
    <mergeCell ref="A21:N21"/>
    <mergeCell ref="J4:J5"/>
    <mergeCell ref="A2:N2"/>
    <mergeCell ref="N4:N5"/>
    <mergeCell ref="K4:K5"/>
    <mergeCell ref="L4:L5"/>
    <mergeCell ref="A30:N30"/>
    <mergeCell ref="A1:N1"/>
  </mergeCells>
  <dataValidations count="1">
    <dataValidation sqref="F3" showDropDown="0" showInputMessage="0" showErrorMessage="0" allowBlank="0" type="list">
      <formula1>"All,June - Sandra,Marissa munoz"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2" customWidth="1" min="4" max="4"/>
  </cols>
  <sheetData>
    <row r="1">
      <c r="A1" s="39" t="inlineStr">
        <is>
          <t>MANUAL SPEND — type what you spent on OnlyFinder / OnlyGuider / OnlySeeker (no API). One row per day.</t>
        </is>
      </c>
    </row>
    <row r="2">
      <c r="A2" s="6" t="inlineStr">
        <is>
          <t>Date</t>
        </is>
      </c>
      <c r="B2" s="6" t="inlineStr">
        <is>
          <t>Creator</t>
        </is>
      </c>
      <c r="C2" s="6" t="inlineStr">
        <is>
          <t>Platform</t>
        </is>
      </c>
      <c r="D2" s="6" t="inlineStr">
        <is>
          <t>Amount ($)</t>
        </is>
      </c>
    </row>
    <row r="3">
      <c r="A3" s="40" t="n"/>
      <c r="B3" s="29" t="n"/>
      <c r="C3" s="29" t="n"/>
      <c r="D3" s="41" t="n"/>
    </row>
    <row r="4">
      <c r="A4" s="40" t="n"/>
      <c r="B4" s="29" t="n"/>
      <c r="C4" s="29" t="n"/>
      <c r="D4" s="41" t="n"/>
    </row>
    <row r="5">
      <c r="A5" s="40" t="n"/>
      <c r="B5" s="29" t="n"/>
      <c r="C5" s="29" t="n"/>
      <c r="D5" s="41" t="n"/>
    </row>
    <row r="6">
      <c r="A6" s="40" t="n"/>
      <c r="B6" s="29" t="n"/>
      <c r="C6" s="29" t="n"/>
      <c r="D6" s="41" t="n"/>
    </row>
    <row r="7">
      <c r="A7" s="40" t="n"/>
      <c r="B7" s="29" t="n"/>
      <c r="C7" s="29" t="n"/>
      <c r="D7" s="41" t="n"/>
    </row>
    <row r="8">
      <c r="A8" s="40" t="n"/>
      <c r="B8" s="29" t="n"/>
      <c r="C8" s="29" t="n"/>
      <c r="D8" s="41" t="n"/>
    </row>
    <row r="9">
      <c r="A9" s="40" t="n"/>
      <c r="B9" s="29" t="n"/>
      <c r="C9" s="29" t="n"/>
      <c r="D9" s="41" t="n"/>
    </row>
    <row r="10">
      <c r="A10" s="40" t="n"/>
      <c r="B10" s="29" t="n"/>
      <c r="C10" s="29" t="n"/>
      <c r="D10" s="41" t="n"/>
    </row>
    <row r="11">
      <c r="A11" s="40" t="n"/>
      <c r="B11" s="29" t="n"/>
      <c r="C11" s="29" t="n"/>
      <c r="D11" s="41" t="n"/>
    </row>
    <row r="12">
      <c r="A12" s="40" t="n"/>
      <c r="B12" s="29" t="n"/>
      <c r="C12" s="29" t="n"/>
      <c r="D12" s="41" t="n"/>
    </row>
    <row r="13">
      <c r="A13" s="40" t="n"/>
      <c r="B13" s="29" t="n"/>
      <c r="C13" s="29" t="n"/>
      <c r="D13" s="41" t="n"/>
    </row>
    <row r="14">
      <c r="A14" s="40" t="n"/>
      <c r="B14" s="29" t="n"/>
      <c r="C14" s="29" t="n"/>
      <c r="D14" s="41" t="n"/>
    </row>
    <row r="15">
      <c r="A15" s="40" t="n"/>
      <c r="B15" s="29" t="n"/>
      <c r="C15" s="29" t="n"/>
      <c r="D15" s="41" t="n"/>
    </row>
    <row r="16">
      <c r="A16" s="40" t="n"/>
      <c r="B16" s="29" t="n"/>
      <c r="C16" s="29" t="n"/>
      <c r="D16" s="41" t="n"/>
    </row>
    <row r="17">
      <c r="A17" s="40" t="n"/>
      <c r="B17" s="29" t="n"/>
      <c r="C17" s="29" t="n"/>
      <c r="D17" s="41" t="n"/>
    </row>
    <row r="18">
      <c r="A18" s="40" t="n"/>
      <c r="B18" s="29" t="n"/>
      <c r="C18" s="29" t="n"/>
      <c r="D18" s="41" t="n"/>
    </row>
    <row r="19">
      <c r="A19" s="40" t="n"/>
      <c r="B19" s="29" t="n"/>
      <c r="C19" s="29" t="n"/>
      <c r="D19" s="41" t="n"/>
    </row>
    <row r="20">
      <c r="A20" s="40" t="n"/>
      <c r="B20" s="29" t="n"/>
      <c r="C20" s="29" t="n"/>
      <c r="D20" s="41" t="n"/>
    </row>
    <row r="21">
      <c r="A21" s="40" t="n"/>
      <c r="B21" s="29" t="n"/>
      <c r="C21" s="29" t="n"/>
      <c r="D21" s="41" t="n"/>
    </row>
    <row r="22">
      <c r="A22" s="40" t="n"/>
      <c r="B22" s="29" t="n"/>
      <c r="C22" s="29" t="n"/>
      <c r="D22" s="41" t="n"/>
    </row>
    <row r="23">
      <c r="A23" s="40" t="n"/>
      <c r="B23" s="29" t="n"/>
      <c r="C23" s="29" t="n"/>
      <c r="D23" s="41" t="n"/>
    </row>
    <row r="24">
      <c r="A24" s="40" t="n"/>
      <c r="B24" s="29" t="n"/>
      <c r="C24" s="29" t="n"/>
      <c r="D24" s="41" t="n"/>
    </row>
    <row r="25">
      <c r="A25" s="40" t="n"/>
      <c r="B25" s="29" t="n"/>
      <c r="C25" s="29" t="n"/>
      <c r="D25" s="41" t="n"/>
    </row>
    <row r="26">
      <c r="A26" s="40" t="n"/>
      <c r="B26" s="29" t="n"/>
      <c r="C26" s="29" t="n"/>
      <c r="D26" s="41" t="n"/>
    </row>
    <row r="27">
      <c r="A27" s="40" t="n"/>
      <c r="B27" s="29" t="n"/>
      <c r="C27" s="29" t="n"/>
      <c r="D27" s="41" t="n"/>
    </row>
    <row r="28">
      <c r="A28" s="40" t="n"/>
      <c r="B28" s="29" t="n"/>
      <c r="C28" s="29" t="n"/>
      <c r="D28" s="41" t="n"/>
    </row>
    <row r="29">
      <c r="A29" s="40" t="n"/>
      <c r="B29" s="29" t="n"/>
      <c r="C29" s="29" t="n"/>
      <c r="D29" s="41" t="n"/>
    </row>
    <row r="30">
      <c r="A30" s="40" t="n"/>
      <c r="B30" s="29" t="n"/>
      <c r="C30" s="29" t="n"/>
      <c r="D30" s="41" t="n"/>
    </row>
    <row r="31">
      <c r="A31" s="40" t="n"/>
      <c r="B31" s="29" t="n"/>
      <c r="C31" s="29" t="n"/>
      <c r="D31" s="41" t="n"/>
    </row>
    <row r="32">
      <c r="A32" s="40" t="n"/>
      <c r="B32" s="29" t="n"/>
      <c r="C32" s="29" t="n"/>
      <c r="D32" s="41" t="n"/>
    </row>
    <row r="33">
      <c r="A33" s="40" t="n"/>
      <c r="B33" s="29" t="n"/>
      <c r="C33" s="29" t="n"/>
      <c r="D33" s="41" t="n"/>
    </row>
    <row r="34">
      <c r="A34" s="40" t="n"/>
      <c r="B34" s="29" t="n"/>
      <c r="C34" s="29" t="n"/>
      <c r="D34" s="41" t="n"/>
    </row>
    <row r="35">
      <c r="A35" s="40" t="n"/>
      <c r="B35" s="29" t="n"/>
      <c r="C35" s="29" t="n"/>
      <c r="D35" s="41" t="n"/>
    </row>
    <row r="36">
      <c r="A36" s="40" t="n"/>
      <c r="B36" s="29" t="n"/>
      <c r="C36" s="29" t="n"/>
      <c r="D36" s="41" t="n"/>
    </row>
    <row r="37">
      <c r="A37" s="40" t="n"/>
      <c r="B37" s="29" t="n"/>
      <c r="C37" s="29" t="n"/>
      <c r="D37" s="41" t="n"/>
    </row>
    <row r="38">
      <c r="A38" s="40" t="n"/>
      <c r="B38" s="29" t="n"/>
      <c r="C38" s="29" t="n"/>
      <c r="D38" s="41" t="n"/>
    </row>
    <row r="39">
      <c r="A39" s="40" t="n"/>
      <c r="B39" s="29" t="n"/>
      <c r="C39" s="29" t="n"/>
      <c r="D39" s="41" t="n"/>
    </row>
    <row r="40">
      <c r="A40" s="40" t="n"/>
      <c r="B40" s="29" t="n"/>
      <c r="C40" s="29" t="n"/>
      <c r="D40" s="41" t="n"/>
    </row>
    <row r="41">
      <c r="A41" s="40" t="n"/>
      <c r="B41" s="29" t="n"/>
      <c r="C41" s="29" t="n"/>
      <c r="D41" s="41" t="n"/>
    </row>
    <row r="42">
      <c r="A42" s="40" t="n"/>
      <c r="B42" s="29" t="n"/>
      <c r="C42" s="29" t="n"/>
      <c r="D42" s="41" t="n"/>
    </row>
    <row r="43">
      <c r="A43" s="40" t="n"/>
      <c r="B43" s="29" t="n"/>
      <c r="C43" s="29" t="n"/>
      <c r="D43" s="41" t="n"/>
    </row>
    <row r="44">
      <c r="A44" s="40" t="n"/>
      <c r="B44" s="29" t="n"/>
      <c r="C44" s="29" t="n"/>
      <c r="D44" s="41" t="n"/>
    </row>
    <row r="45">
      <c r="A45" s="40" t="n"/>
      <c r="B45" s="29" t="n"/>
      <c r="C45" s="29" t="n"/>
      <c r="D45" s="41" t="n"/>
    </row>
    <row r="46">
      <c r="A46" s="40" t="n"/>
      <c r="B46" s="29" t="n"/>
      <c r="C46" s="29" t="n"/>
      <c r="D46" s="41" t="n"/>
    </row>
    <row r="47">
      <c r="A47" s="40" t="n"/>
      <c r="B47" s="29" t="n"/>
      <c r="C47" s="29" t="n"/>
      <c r="D47" s="41" t="n"/>
    </row>
    <row r="48">
      <c r="A48" s="40" t="n"/>
      <c r="B48" s="29" t="n"/>
      <c r="C48" s="29" t="n"/>
      <c r="D48" s="41" t="n"/>
    </row>
    <row r="49">
      <c r="A49" s="40" t="n"/>
      <c r="B49" s="29" t="n"/>
      <c r="C49" s="29" t="n"/>
      <c r="D49" s="41" t="n"/>
    </row>
    <row r="50">
      <c r="A50" s="40" t="n"/>
      <c r="B50" s="29" t="n"/>
      <c r="C50" s="29" t="n"/>
      <c r="D50" s="41" t="n"/>
    </row>
    <row r="51">
      <c r="A51" s="40" t="n"/>
      <c r="B51" s="29" t="n"/>
      <c r="C51" s="29" t="n"/>
      <c r="D51" s="41" t="n"/>
    </row>
    <row r="52">
      <c r="A52" s="40" t="n"/>
      <c r="B52" s="29" t="n"/>
      <c r="C52" s="29" t="n"/>
      <c r="D52" s="41" t="n"/>
    </row>
    <row r="53">
      <c r="A53" s="40" t="n"/>
      <c r="B53" s="29" t="n"/>
      <c r="C53" s="29" t="n"/>
      <c r="D53" s="41" t="n"/>
    </row>
    <row r="54">
      <c r="A54" s="40" t="n"/>
      <c r="B54" s="29" t="n"/>
      <c r="C54" s="29" t="n"/>
      <c r="D54" s="41" t="n"/>
    </row>
    <row r="55">
      <c r="A55" s="40" t="n"/>
      <c r="B55" s="29" t="n"/>
      <c r="C55" s="29" t="n"/>
      <c r="D55" s="41" t="n"/>
    </row>
    <row r="56">
      <c r="A56" s="40" t="n"/>
      <c r="B56" s="29" t="n"/>
      <c r="C56" s="29" t="n"/>
      <c r="D56" s="41" t="n"/>
    </row>
    <row r="57">
      <c r="A57" s="40" t="n"/>
      <c r="B57" s="29" t="n"/>
      <c r="C57" s="29" t="n"/>
      <c r="D57" s="41" t="n"/>
    </row>
    <row r="58">
      <c r="A58" s="40" t="n"/>
      <c r="B58" s="29" t="n"/>
      <c r="C58" s="29" t="n"/>
      <c r="D58" s="41" t="n"/>
    </row>
    <row r="59">
      <c r="A59" s="40" t="n"/>
      <c r="B59" s="29" t="n"/>
      <c r="C59" s="29" t="n"/>
      <c r="D59" s="41" t="n"/>
    </row>
    <row r="60">
      <c r="A60" s="40" t="n"/>
      <c r="B60" s="29" t="n"/>
      <c r="C60" s="29" t="n"/>
      <c r="D60" s="41" t="n"/>
    </row>
    <row r="61">
      <c r="A61" s="40" t="n"/>
      <c r="B61" s="29" t="n"/>
      <c r="C61" s="29" t="n"/>
      <c r="D61" s="41" t="n"/>
    </row>
    <row r="62">
      <c r="A62" s="40" t="n"/>
      <c r="B62" s="29" t="n"/>
      <c r="C62" s="29" t="n"/>
      <c r="D62" s="41" t="n"/>
    </row>
    <row r="63">
      <c r="A63" s="40" t="n"/>
      <c r="B63" s="29" t="n"/>
      <c r="C63" s="29" t="n"/>
      <c r="D63" s="41" t="n"/>
    </row>
    <row r="64">
      <c r="A64" s="40" t="n"/>
      <c r="B64" s="29" t="n"/>
      <c r="C64" s="29" t="n"/>
      <c r="D64" s="41" t="n"/>
    </row>
    <row r="65">
      <c r="A65" s="40" t="n"/>
      <c r="B65" s="29" t="n"/>
      <c r="C65" s="29" t="n"/>
      <c r="D65" s="41" t="n"/>
    </row>
    <row r="66">
      <c r="A66" s="40" t="n"/>
      <c r="B66" s="29" t="n"/>
      <c r="C66" s="29" t="n"/>
      <c r="D66" s="41" t="n"/>
    </row>
    <row r="67">
      <c r="A67" s="40" t="n"/>
      <c r="B67" s="29" t="n"/>
      <c r="C67" s="29" t="n"/>
      <c r="D67" s="41" t="n"/>
    </row>
    <row r="68">
      <c r="A68" s="40" t="n"/>
      <c r="B68" s="29" t="n"/>
      <c r="C68" s="29" t="n"/>
      <c r="D68" s="41" t="n"/>
    </row>
    <row r="69">
      <c r="A69" s="40" t="n"/>
      <c r="B69" s="29" t="n"/>
      <c r="C69" s="29" t="n"/>
      <c r="D69" s="41" t="n"/>
    </row>
    <row r="70">
      <c r="A70" s="40" t="n"/>
      <c r="B70" s="29" t="n"/>
      <c r="C70" s="29" t="n"/>
      <c r="D70" s="41" t="n"/>
    </row>
    <row r="71">
      <c r="A71" s="40" t="n"/>
      <c r="B71" s="29" t="n"/>
      <c r="C71" s="29" t="n"/>
      <c r="D71" s="41" t="n"/>
    </row>
    <row r="72">
      <c r="A72" s="40" t="n"/>
      <c r="B72" s="29" t="n"/>
      <c r="C72" s="29" t="n"/>
      <c r="D72" s="41" t="n"/>
    </row>
    <row r="73">
      <c r="A73" s="40" t="n"/>
      <c r="B73" s="29" t="n"/>
      <c r="C73" s="29" t="n"/>
      <c r="D73" s="41" t="n"/>
    </row>
    <row r="74">
      <c r="A74" s="40" t="n"/>
      <c r="B74" s="29" t="n"/>
      <c r="C74" s="29" t="n"/>
      <c r="D74" s="41" t="n"/>
    </row>
    <row r="75">
      <c r="A75" s="40" t="n"/>
      <c r="B75" s="29" t="n"/>
      <c r="C75" s="29" t="n"/>
      <c r="D75" s="41" t="n"/>
    </row>
    <row r="76">
      <c r="A76" s="40" t="n"/>
      <c r="B76" s="29" t="n"/>
      <c r="C76" s="29" t="n"/>
      <c r="D76" s="41" t="n"/>
    </row>
    <row r="77">
      <c r="A77" s="40" t="n"/>
      <c r="B77" s="29" t="n"/>
      <c r="C77" s="29" t="n"/>
      <c r="D77" s="41" t="n"/>
    </row>
    <row r="78">
      <c r="A78" s="40" t="n"/>
      <c r="B78" s="29" t="n"/>
      <c r="C78" s="29" t="n"/>
      <c r="D78" s="41" t="n"/>
    </row>
    <row r="79">
      <c r="A79" s="40" t="n"/>
      <c r="B79" s="29" t="n"/>
      <c r="C79" s="29" t="n"/>
      <c r="D79" s="41" t="n"/>
    </row>
    <row r="80">
      <c r="A80" s="40" t="n"/>
      <c r="B80" s="29" t="n"/>
      <c r="C80" s="29" t="n"/>
      <c r="D80" s="41" t="n"/>
    </row>
    <row r="81">
      <c r="A81" s="40" t="n"/>
      <c r="B81" s="29" t="n"/>
      <c r="C81" s="29" t="n"/>
      <c r="D81" s="41" t="n"/>
    </row>
    <row r="82">
      <c r="A82" s="40" t="n"/>
      <c r="B82" s="29" t="n"/>
      <c r="C82" s="29" t="n"/>
      <c r="D82" s="41" t="n"/>
    </row>
    <row r="83">
      <c r="A83" s="40" t="n"/>
      <c r="B83" s="29" t="n"/>
      <c r="C83" s="29" t="n"/>
      <c r="D83" s="41" t="n"/>
    </row>
    <row r="84">
      <c r="A84" s="40" t="n"/>
      <c r="B84" s="29" t="n"/>
      <c r="C84" s="29" t="n"/>
      <c r="D84" s="41" t="n"/>
    </row>
    <row r="85">
      <c r="A85" s="40" t="n"/>
      <c r="B85" s="29" t="n"/>
      <c r="C85" s="29" t="n"/>
      <c r="D85" s="41" t="n"/>
    </row>
    <row r="86">
      <c r="A86" s="40" t="n"/>
      <c r="B86" s="29" t="n"/>
      <c r="C86" s="29" t="n"/>
      <c r="D86" s="41" t="n"/>
    </row>
    <row r="87">
      <c r="A87" s="40" t="n"/>
      <c r="B87" s="29" t="n"/>
      <c r="C87" s="29" t="n"/>
      <c r="D87" s="41" t="n"/>
    </row>
    <row r="88">
      <c r="A88" s="40" t="n"/>
      <c r="B88" s="29" t="n"/>
      <c r="C88" s="29" t="n"/>
      <c r="D88" s="41" t="n"/>
    </row>
    <row r="89">
      <c r="A89" s="40" t="n"/>
      <c r="B89" s="29" t="n"/>
      <c r="C89" s="29" t="n"/>
      <c r="D89" s="41" t="n"/>
    </row>
    <row r="90">
      <c r="A90" s="40" t="n"/>
      <c r="B90" s="29" t="n"/>
      <c r="C90" s="29" t="n"/>
      <c r="D90" s="41" t="n"/>
    </row>
    <row r="91">
      <c r="A91" s="40" t="n"/>
      <c r="B91" s="29" t="n"/>
      <c r="C91" s="29" t="n"/>
      <c r="D91" s="41" t="n"/>
    </row>
    <row r="92">
      <c r="A92" s="40" t="n"/>
      <c r="B92" s="29" t="n"/>
      <c r="C92" s="29" t="n"/>
      <c r="D92" s="41" t="n"/>
    </row>
    <row r="93">
      <c r="A93" s="40" t="n"/>
      <c r="B93" s="29" t="n"/>
      <c r="C93" s="29" t="n"/>
      <c r="D93" s="41" t="n"/>
    </row>
    <row r="94">
      <c r="A94" s="40" t="n"/>
      <c r="B94" s="29" t="n"/>
      <c r="C94" s="29" t="n"/>
      <c r="D94" s="41" t="n"/>
    </row>
    <row r="95">
      <c r="A95" s="40" t="n"/>
      <c r="B95" s="29" t="n"/>
      <c r="C95" s="29" t="n"/>
      <c r="D95" s="41" t="n"/>
    </row>
    <row r="96">
      <c r="A96" s="40" t="n"/>
      <c r="B96" s="29" t="n"/>
      <c r="C96" s="29" t="n"/>
      <c r="D96" s="41" t="n"/>
    </row>
    <row r="97">
      <c r="A97" s="40" t="n"/>
      <c r="B97" s="29" t="n"/>
      <c r="C97" s="29" t="n"/>
      <c r="D97" s="41" t="n"/>
    </row>
    <row r="98">
      <c r="A98" s="40" t="n"/>
      <c r="B98" s="29" t="n"/>
      <c r="C98" s="29" t="n"/>
      <c r="D98" s="41" t="n"/>
    </row>
    <row r="99">
      <c r="A99" s="40" t="n"/>
      <c r="B99" s="29" t="n"/>
      <c r="C99" s="29" t="n"/>
      <c r="D99" s="41" t="n"/>
    </row>
    <row r="100">
      <c r="A100" s="40" t="n"/>
      <c r="B100" s="29" t="n"/>
      <c r="C100" s="29" t="n"/>
      <c r="D100" s="41" t="n"/>
    </row>
    <row r="101">
      <c r="A101" s="40" t="n"/>
      <c r="B101" s="29" t="n"/>
      <c r="C101" s="29" t="n"/>
      <c r="D101" s="41" t="n"/>
    </row>
    <row r="102">
      <c r="A102" s="40" t="n"/>
      <c r="B102" s="29" t="n"/>
      <c r="C102" s="29" t="n"/>
      <c r="D102" s="41" t="n"/>
    </row>
    <row r="103">
      <c r="A103" s="40" t="n"/>
      <c r="B103" s="29" t="n"/>
      <c r="C103" s="29" t="n"/>
      <c r="D103" s="41" t="n"/>
    </row>
    <row r="104">
      <c r="A104" s="40" t="n"/>
      <c r="B104" s="29" t="n"/>
      <c r="C104" s="29" t="n"/>
      <c r="D104" s="41" t="n"/>
    </row>
    <row r="105">
      <c r="A105" s="40" t="n"/>
      <c r="B105" s="29" t="n"/>
      <c r="C105" s="29" t="n"/>
      <c r="D105" s="41" t="n"/>
    </row>
    <row r="106">
      <c r="A106" s="40" t="n"/>
      <c r="B106" s="29" t="n"/>
      <c r="C106" s="29" t="n"/>
      <c r="D106" s="41" t="n"/>
    </row>
    <row r="107">
      <c r="A107" s="40" t="n"/>
      <c r="B107" s="29" t="n"/>
      <c r="C107" s="29" t="n"/>
      <c r="D107" s="41" t="n"/>
    </row>
    <row r="108">
      <c r="A108" s="40" t="n"/>
      <c r="B108" s="29" t="n"/>
      <c r="C108" s="29" t="n"/>
      <c r="D108" s="41" t="n"/>
    </row>
    <row r="109">
      <c r="A109" s="40" t="n"/>
      <c r="B109" s="29" t="n"/>
      <c r="C109" s="29" t="n"/>
      <c r="D109" s="41" t="n"/>
    </row>
    <row r="110">
      <c r="A110" s="40" t="n"/>
      <c r="B110" s="29" t="n"/>
      <c r="C110" s="29" t="n"/>
      <c r="D110" s="41" t="n"/>
    </row>
    <row r="111">
      <c r="A111" s="40" t="n"/>
      <c r="B111" s="29" t="n"/>
      <c r="C111" s="29" t="n"/>
      <c r="D111" s="41" t="n"/>
    </row>
    <row r="112">
      <c r="A112" s="40" t="n"/>
      <c r="B112" s="29" t="n"/>
      <c r="C112" s="29" t="n"/>
      <c r="D112" s="41" t="n"/>
    </row>
    <row r="113">
      <c r="A113" s="40" t="n"/>
      <c r="B113" s="29" t="n"/>
      <c r="C113" s="29" t="n"/>
      <c r="D113" s="41" t="n"/>
    </row>
    <row r="114">
      <c r="A114" s="40" t="n"/>
      <c r="B114" s="29" t="n"/>
      <c r="C114" s="29" t="n"/>
      <c r="D114" s="41" t="n"/>
    </row>
    <row r="115">
      <c r="A115" s="40" t="n"/>
      <c r="B115" s="29" t="n"/>
      <c r="C115" s="29" t="n"/>
      <c r="D115" s="41" t="n"/>
    </row>
    <row r="116">
      <c r="A116" s="40" t="n"/>
      <c r="B116" s="29" t="n"/>
      <c r="C116" s="29" t="n"/>
      <c r="D116" s="41" t="n"/>
    </row>
    <row r="117">
      <c r="A117" s="40" t="n"/>
      <c r="B117" s="29" t="n"/>
      <c r="C117" s="29" t="n"/>
      <c r="D117" s="41" t="n"/>
    </row>
    <row r="118">
      <c r="A118" s="40" t="n"/>
      <c r="B118" s="29" t="n"/>
      <c r="C118" s="29" t="n"/>
      <c r="D118" s="41" t="n"/>
    </row>
    <row r="119">
      <c r="A119" s="40" t="n"/>
      <c r="B119" s="29" t="n"/>
      <c r="C119" s="29" t="n"/>
      <c r="D119" s="41" t="n"/>
    </row>
    <row r="120">
      <c r="A120" s="40" t="n"/>
      <c r="B120" s="29" t="n"/>
      <c r="C120" s="29" t="n"/>
      <c r="D120" s="41" t="n"/>
    </row>
    <row r="121">
      <c r="A121" s="40" t="n"/>
      <c r="B121" s="29" t="n"/>
      <c r="C121" s="29" t="n"/>
      <c r="D121" s="41" t="n"/>
    </row>
    <row r="122">
      <c r="A122" s="40" t="n"/>
      <c r="B122" s="29" t="n"/>
      <c r="C122" s="29" t="n"/>
      <c r="D122" s="41" t="n"/>
    </row>
    <row r="123">
      <c r="A123" s="40" t="n"/>
      <c r="B123" s="29" t="n"/>
      <c r="C123" s="29" t="n"/>
      <c r="D123" s="41" t="n"/>
    </row>
    <row r="124">
      <c r="A124" s="40" t="n"/>
      <c r="B124" s="29" t="n"/>
      <c r="C124" s="29" t="n"/>
      <c r="D124" s="41" t="n"/>
    </row>
    <row r="125">
      <c r="A125" s="40" t="n"/>
      <c r="B125" s="29" t="n"/>
      <c r="C125" s="29" t="n"/>
      <c r="D125" s="41" t="n"/>
    </row>
    <row r="126">
      <c r="A126" s="40" t="n"/>
      <c r="B126" s="29" t="n"/>
      <c r="C126" s="29" t="n"/>
      <c r="D126" s="41" t="n"/>
    </row>
    <row r="127">
      <c r="A127" s="40" t="n"/>
      <c r="B127" s="29" t="n"/>
      <c r="C127" s="29" t="n"/>
      <c r="D127" s="41" t="n"/>
    </row>
    <row r="128">
      <c r="A128" s="40" t="n"/>
      <c r="B128" s="29" t="n"/>
      <c r="C128" s="29" t="n"/>
      <c r="D128" s="41" t="n"/>
    </row>
    <row r="129">
      <c r="A129" s="40" t="n"/>
      <c r="B129" s="29" t="n"/>
      <c r="C129" s="29" t="n"/>
      <c r="D129" s="41" t="n"/>
    </row>
    <row r="130">
      <c r="A130" s="40" t="n"/>
      <c r="B130" s="29" t="n"/>
      <c r="C130" s="29" t="n"/>
      <c r="D130" s="41" t="n"/>
    </row>
    <row r="131">
      <c r="A131" s="40" t="n"/>
      <c r="B131" s="29" t="n"/>
      <c r="C131" s="29" t="n"/>
      <c r="D131" s="41" t="n"/>
    </row>
    <row r="132">
      <c r="A132" s="40" t="n"/>
      <c r="B132" s="29" t="n"/>
      <c r="C132" s="29" t="n"/>
      <c r="D132" s="41" t="n"/>
    </row>
    <row r="133">
      <c r="A133" s="40" t="n"/>
      <c r="B133" s="29" t="n"/>
      <c r="C133" s="29" t="n"/>
      <c r="D133" s="41" t="n"/>
    </row>
    <row r="134">
      <c r="A134" s="40" t="n"/>
      <c r="B134" s="29" t="n"/>
      <c r="C134" s="29" t="n"/>
      <c r="D134" s="41" t="n"/>
    </row>
    <row r="135">
      <c r="A135" s="40" t="n"/>
      <c r="B135" s="29" t="n"/>
      <c r="C135" s="29" t="n"/>
      <c r="D135" s="41" t="n"/>
    </row>
    <row r="136">
      <c r="A136" s="40" t="n"/>
      <c r="B136" s="29" t="n"/>
      <c r="C136" s="29" t="n"/>
      <c r="D136" s="41" t="n"/>
    </row>
    <row r="137">
      <c r="A137" s="40" t="n"/>
      <c r="B137" s="29" t="n"/>
      <c r="C137" s="29" t="n"/>
      <c r="D137" s="41" t="n"/>
    </row>
    <row r="138">
      <c r="A138" s="40" t="n"/>
      <c r="B138" s="29" t="n"/>
      <c r="C138" s="29" t="n"/>
      <c r="D138" s="41" t="n"/>
    </row>
    <row r="139">
      <c r="A139" s="40" t="n"/>
      <c r="B139" s="29" t="n"/>
      <c r="C139" s="29" t="n"/>
      <c r="D139" s="41" t="n"/>
    </row>
    <row r="140">
      <c r="A140" s="40" t="n"/>
      <c r="B140" s="29" t="n"/>
      <c r="C140" s="29" t="n"/>
      <c r="D140" s="41" t="n"/>
    </row>
    <row r="141">
      <c r="A141" s="40" t="n"/>
      <c r="B141" s="29" t="n"/>
      <c r="C141" s="29" t="n"/>
      <c r="D141" s="41" t="n"/>
    </row>
    <row r="142">
      <c r="A142" s="40" t="n"/>
      <c r="B142" s="29" t="n"/>
      <c r="C142" s="29" t="n"/>
      <c r="D142" s="41" t="n"/>
    </row>
    <row r="143">
      <c r="A143" s="40" t="n"/>
      <c r="B143" s="29" t="n"/>
      <c r="C143" s="29" t="n"/>
      <c r="D143" s="41" t="n"/>
    </row>
    <row r="144">
      <c r="A144" s="40" t="n"/>
      <c r="B144" s="29" t="n"/>
      <c r="C144" s="29" t="n"/>
      <c r="D144" s="41" t="n"/>
    </row>
    <row r="145">
      <c r="A145" s="40" t="n"/>
      <c r="B145" s="29" t="n"/>
      <c r="C145" s="29" t="n"/>
      <c r="D145" s="41" t="n"/>
    </row>
    <row r="146">
      <c r="A146" s="40" t="n"/>
      <c r="B146" s="29" t="n"/>
      <c r="C146" s="29" t="n"/>
      <c r="D146" s="41" t="n"/>
    </row>
    <row r="147">
      <c r="A147" s="40" t="n"/>
      <c r="B147" s="29" t="n"/>
      <c r="C147" s="29" t="n"/>
      <c r="D147" s="41" t="n"/>
    </row>
    <row r="148">
      <c r="A148" s="40" t="n"/>
      <c r="B148" s="29" t="n"/>
      <c r="C148" s="29" t="n"/>
      <c r="D148" s="41" t="n"/>
    </row>
    <row r="149">
      <c r="A149" s="40" t="n"/>
      <c r="B149" s="29" t="n"/>
      <c r="C149" s="29" t="n"/>
      <c r="D149" s="41" t="n"/>
    </row>
    <row r="150">
      <c r="A150" s="40" t="n"/>
      <c r="B150" s="29" t="n"/>
      <c r="C150" s="29" t="n"/>
      <c r="D150" s="41" t="n"/>
    </row>
    <row r="151">
      <c r="A151" s="40" t="n"/>
      <c r="B151" s="29" t="n"/>
      <c r="C151" s="29" t="n"/>
      <c r="D151" s="41" t="n"/>
    </row>
    <row r="152">
      <c r="A152" s="40" t="n"/>
      <c r="B152" s="29" t="n"/>
      <c r="C152" s="29" t="n"/>
      <c r="D152" s="41" t="n"/>
    </row>
    <row r="153">
      <c r="A153" s="40" t="n"/>
      <c r="B153" s="29" t="n"/>
      <c r="C153" s="29" t="n"/>
      <c r="D153" s="41" t="n"/>
    </row>
    <row r="154">
      <c r="A154" s="40" t="n"/>
      <c r="B154" s="29" t="n"/>
      <c r="C154" s="29" t="n"/>
      <c r="D154" s="41" t="n"/>
    </row>
    <row r="155">
      <c r="A155" s="40" t="n"/>
      <c r="B155" s="29" t="n"/>
      <c r="C155" s="29" t="n"/>
      <c r="D155" s="41" t="n"/>
    </row>
    <row r="156">
      <c r="A156" s="40" t="n"/>
      <c r="B156" s="29" t="n"/>
      <c r="C156" s="29" t="n"/>
      <c r="D156" s="41" t="n"/>
    </row>
    <row r="157">
      <c r="A157" s="40" t="n"/>
      <c r="B157" s="29" t="n"/>
      <c r="C157" s="29" t="n"/>
      <c r="D157" s="41" t="n"/>
    </row>
    <row r="158">
      <c r="A158" s="40" t="n"/>
      <c r="B158" s="29" t="n"/>
      <c r="C158" s="29" t="n"/>
      <c r="D158" s="41" t="n"/>
    </row>
    <row r="159">
      <c r="A159" s="40" t="n"/>
      <c r="B159" s="29" t="n"/>
      <c r="C159" s="29" t="n"/>
      <c r="D159" s="41" t="n"/>
    </row>
    <row r="160">
      <c r="A160" s="40" t="n"/>
      <c r="B160" s="29" t="n"/>
      <c r="C160" s="29" t="n"/>
      <c r="D160" s="41" t="n"/>
    </row>
    <row r="161">
      <c r="A161" s="40" t="n"/>
      <c r="B161" s="29" t="n"/>
      <c r="C161" s="29" t="n"/>
      <c r="D161" s="41" t="n"/>
    </row>
    <row r="162">
      <c r="A162" s="40" t="n"/>
      <c r="B162" s="29" t="n"/>
      <c r="C162" s="29" t="n"/>
      <c r="D162" s="41" t="n"/>
    </row>
    <row r="163">
      <c r="A163" s="40" t="n"/>
      <c r="B163" s="29" t="n"/>
      <c r="C163" s="29" t="n"/>
      <c r="D163" s="41" t="n"/>
    </row>
    <row r="164">
      <c r="A164" s="40" t="n"/>
      <c r="B164" s="29" t="n"/>
      <c r="C164" s="29" t="n"/>
      <c r="D164" s="41" t="n"/>
    </row>
    <row r="165">
      <c r="A165" s="40" t="n"/>
      <c r="B165" s="29" t="n"/>
      <c r="C165" s="29" t="n"/>
      <c r="D165" s="41" t="n"/>
    </row>
    <row r="166">
      <c r="A166" s="40" t="n"/>
      <c r="B166" s="29" t="n"/>
      <c r="C166" s="29" t="n"/>
      <c r="D166" s="41" t="n"/>
    </row>
    <row r="167">
      <c r="A167" s="40" t="n"/>
      <c r="B167" s="29" t="n"/>
      <c r="C167" s="29" t="n"/>
      <c r="D167" s="41" t="n"/>
    </row>
    <row r="168">
      <c r="A168" s="40" t="n"/>
      <c r="B168" s="29" t="n"/>
      <c r="C168" s="29" t="n"/>
      <c r="D168" s="41" t="n"/>
    </row>
    <row r="169">
      <c r="A169" s="40" t="n"/>
      <c r="B169" s="29" t="n"/>
      <c r="C169" s="29" t="n"/>
      <c r="D169" s="41" t="n"/>
    </row>
    <row r="170">
      <c r="A170" s="40" t="n"/>
      <c r="B170" s="29" t="n"/>
      <c r="C170" s="29" t="n"/>
      <c r="D170" s="41" t="n"/>
    </row>
    <row r="171">
      <c r="A171" s="40" t="n"/>
      <c r="B171" s="29" t="n"/>
      <c r="C171" s="29" t="n"/>
      <c r="D171" s="41" t="n"/>
    </row>
    <row r="172">
      <c r="A172" s="40" t="n"/>
      <c r="B172" s="29" t="n"/>
      <c r="C172" s="29" t="n"/>
      <c r="D172" s="41" t="n"/>
    </row>
    <row r="173">
      <c r="A173" s="40" t="n"/>
      <c r="B173" s="29" t="n"/>
      <c r="C173" s="29" t="n"/>
      <c r="D173" s="41" t="n"/>
    </row>
    <row r="174">
      <c r="A174" s="40" t="n"/>
      <c r="B174" s="29" t="n"/>
      <c r="C174" s="29" t="n"/>
      <c r="D174" s="41" t="n"/>
    </row>
    <row r="175">
      <c r="A175" s="40" t="n"/>
      <c r="B175" s="29" t="n"/>
      <c r="C175" s="29" t="n"/>
      <c r="D175" s="41" t="n"/>
    </row>
    <row r="176">
      <c r="A176" s="40" t="n"/>
      <c r="B176" s="29" t="n"/>
      <c r="C176" s="29" t="n"/>
      <c r="D176" s="41" t="n"/>
    </row>
    <row r="177">
      <c r="A177" s="40" t="n"/>
      <c r="B177" s="29" t="n"/>
      <c r="C177" s="29" t="n"/>
      <c r="D177" s="41" t="n"/>
    </row>
    <row r="178">
      <c r="A178" s="40" t="n"/>
      <c r="B178" s="29" t="n"/>
      <c r="C178" s="29" t="n"/>
      <c r="D178" s="41" t="n"/>
    </row>
    <row r="179">
      <c r="A179" s="40" t="n"/>
      <c r="B179" s="29" t="n"/>
      <c r="C179" s="29" t="n"/>
      <c r="D179" s="41" t="n"/>
    </row>
    <row r="180">
      <c r="A180" s="40" t="n"/>
      <c r="B180" s="29" t="n"/>
      <c r="C180" s="29" t="n"/>
      <c r="D180" s="41" t="n"/>
    </row>
    <row r="181">
      <c r="A181" s="40" t="n"/>
      <c r="B181" s="29" t="n"/>
      <c r="C181" s="29" t="n"/>
      <c r="D181" s="41" t="n"/>
    </row>
    <row r="182">
      <c r="A182" s="40" t="n"/>
      <c r="B182" s="29" t="n"/>
      <c r="C182" s="29" t="n"/>
      <c r="D182" s="41" t="n"/>
    </row>
    <row r="183">
      <c r="A183" s="40" t="n"/>
      <c r="B183" s="29" t="n"/>
      <c r="C183" s="29" t="n"/>
      <c r="D183" s="41" t="n"/>
    </row>
    <row r="184">
      <c r="A184" s="40" t="n"/>
      <c r="B184" s="29" t="n"/>
      <c r="C184" s="29" t="n"/>
      <c r="D184" s="41" t="n"/>
    </row>
    <row r="185">
      <c r="A185" s="40" t="n"/>
      <c r="B185" s="29" t="n"/>
      <c r="C185" s="29" t="n"/>
      <c r="D185" s="41" t="n"/>
    </row>
    <row r="186">
      <c r="A186" s="40" t="n"/>
      <c r="B186" s="29" t="n"/>
      <c r="C186" s="29" t="n"/>
      <c r="D186" s="41" t="n"/>
    </row>
    <row r="187">
      <c r="A187" s="40" t="n"/>
      <c r="B187" s="29" t="n"/>
      <c r="C187" s="29" t="n"/>
      <c r="D187" s="41" t="n"/>
    </row>
    <row r="188">
      <c r="A188" s="40" t="n"/>
      <c r="B188" s="29" t="n"/>
      <c r="C188" s="29" t="n"/>
      <c r="D188" s="41" t="n"/>
    </row>
    <row r="189">
      <c r="A189" s="40" t="n"/>
      <c r="B189" s="29" t="n"/>
      <c r="C189" s="29" t="n"/>
      <c r="D189" s="41" t="n"/>
    </row>
    <row r="190">
      <c r="A190" s="40" t="n"/>
      <c r="B190" s="29" t="n"/>
      <c r="C190" s="29" t="n"/>
      <c r="D190" s="41" t="n"/>
    </row>
    <row r="191">
      <c r="A191" s="40" t="n"/>
      <c r="B191" s="29" t="n"/>
      <c r="C191" s="29" t="n"/>
      <c r="D191" s="41" t="n"/>
    </row>
    <row r="192">
      <c r="A192" s="40" t="n"/>
      <c r="B192" s="29" t="n"/>
      <c r="C192" s="29" t="n"/>
      <c r="D192" s="41" t="n"/>
    </row>
    <row r="193">
      <c r="A193" s="40" t="n"/>
      <c r="B193" s="29" t="n"/>
      <c r="C193" s="29" t="n"/>
      <c r="D193" s="41" t="n"/>
    </row>
    <row r="194">
      <c r="A194" s="40" t="n"/>
      <c r="B194" s="29" t="n"/>
      <c r="C194" s="29" t="n"/>
      <c r="D194" s="41" t="n"/>
    </row>
    <row r="195">
      <c r="A195" s="40" t="n"/>
      <c r="B195" s="29" t="n"/>
      <c r="C195" s="29" t="n"/>
      <c r="D195" s="41" t="n"/>
    </row>
    <row r="196">
      <c r="A196" s="40" t="n"/>
      <c r="B196" s="29" t="n"/>
      <c r="C196" s="29" t="n"/>
      <c r="D196" s="41" t="n"/>
    </row>
    <row r="197">
      <c r="A197" s="40" t="n"/>
      <c r="B197" s="29" t="n"/>
      <c r="C197" s="29" t="n"/>
      <c r="D197" s="41" t="n"/>
    </row>
    <row r="198">
      <c r="A198" s="40" t="n"/>
      <c r="B198" s="29" t="n"/>
      <c r="C198" s="29" t="n"/>
      <c r="D198" s="41" t="n"/>
    </row>
    <row r="199">
      <c r="A199" s="40" t="n"/>
      <c r="B199" s="29" t="n"/>
      <c r="C199" s="29" t="n"/>
      <c r="D199" s="41" t="n"/>
    </row>
    <row r="200">
      <c r="A200" s="40" t="n"/>
      <c r="B200" s="29" t="n"/>
      <c r="C200" s="29" t="n"/>
      <c r="D200" s="41" t="n"/>
    </row>
    <row r="201">
      <c r="A201" s="40" t="n"/>
      <c r="B201" s="29" t="n"/>
      <c r="C201" s="29" t="n"/>
      <c r="D201" s="41" t="n"/>
    </row>
    <row r="202">
      <c r="A202" s="40" t="n"/>
      <c r="B202" s="29" t="n"/>
      <c r="C202" s="29" t="n"/>
      <c r="D202" s="41" t="n"/>
    </row>
  </sheetData>
  <mergeCells count="1">
    <mergeCell ref="A1:D1"/>
  </mergeCells>
  <dataValidations count="2">
    <dataValidation sqref="C3:C202" showDropDown="0" showInputMessage="0" showErrorMessage="0" allowBlank="1" type="list">
      <formula1>"OnlyFinder,OnlyGuider,OnlySeeker"</formula1>
    </dataValidation>
    <dataValidation sqref="B3:B202" showDropDown="0" showInputMessage="0" showErrorMessage="0" allowBlank="1" type="list">
      <formula1>"June - Sandra,Marissa munoz"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0" customWidth="1" min="4" max="4"/>
  </cols>
  <sheetData>
    <row r="1">
      <c r="A1" s="39" t="inlineStr">
        <is>
          <t>MANUAL CLICKS — type a number ONLY to override the auto clicks for a day/creator/platform.</t>
        </is>
      </c>
    </row>
    <row r="2">
      <c r="A2" s="6" t="inlineStr">
        <is>
          <t>Date</t>
        </is>
      </c>
      <c r="B2" s="6" t="inlineStr">
        <is>
          <t>Creator</t>
        </is>
      </c>
      <c r="C2" s="6" t="inlineStr">
        <is>
          <t>Platform</t>
        </is>
      </c>
      <c r="D2" s="6" t="inlineStr">
        <is>
          <t>Clicks</t>
        </is>
      </c>
    </row>
    <row r="3">
      <c r="A3" s="40" t="n"/>
      <c r="B3" s="29" t="n"/>
      <c r="C3" s="29" t="n"/>
      <c r="D3" s="42" t="n"/>
    </row>
    <row r="4">
      <c r="A4" s="40" t="n"/>
      <c r="B4" s="29" t="n"/>
      <c r="C4" s="29" t="n"/>
      <c r="D4" s="42" t="n"/>
    </row>
    <row r="5">
      <c r="A5" s="40" t="n"/>
      <c r="B5" s="29" t="n"/>
      <c r="C5" s="29" t="n"/>
      <c r="D5" s="42" t="n"/>
    </row>
    <row r="6">
      <c r="A6" s="40" t="n"/>
      <c r="B6" s="29" t="n"/>
      <c r="C6" s="29" t="n"/>
      <c r="D6" s="42" t="n"/>
    </row>
    <row r="7">
      <c r="A7" s="40" t="n"/>
      <c r="B7" s="29" t="n"/>
      <c r="C7" s="29" t="n"/>
      <c r="D7" s="42" t="n"/>
    </row>
    <row r="8">
      <c r="A8" s="40" t="n"/>
      <c r="B8" s="29" t="n"/>
      <c r="C8" s="29" t="n"/>
      <c r="D8" s="42" t="n"/>
    </row>
    <row r="9">
      <c r="A9" s="40" t="n"/>
      <c r="B9" s="29" t="n"/>
      <c r="C9" s="29" t="n"/>
      <c r="D9" s="42" t="n"/>
    </row>
    <row r="10">
      <c r="A10" s="40" t="n"/>
      <c r="B10" s="29" t="n"/>
      <c r="C10" s="29" t="n"/>
      <c r="D10" s="42" t="n"/>
    </row>
    <row r="11">
      <c r="A11" s="40" t="n"/>
      <c r="B11" s="29" t="n"/>
      <c r="C11" s="29" t="n"/>
      <c r="D11" s="42" t="n"/>
    </row>
    <row r="12">
      <c r="A12" s="40" t="n"/>
      <c r="B12" s="29" t="n"/>
      <c r="C12" s="29" t="n"/>
      <c r="D12" s="42" t="n"/>
    </row>
    <row r="13">
      <c r="A13" s="40" t="n"/>
      <c r="B13" s="29" t="n"/>
      <c r="C13" s="29" t="n"/>
      <c r="D13" s="42" t="n"/>
    </row>
    <row r="14">
      <c r="A14" s="40" t="n"/>
      <c r="B14" s="29" t="n"/>
      <c r="C14" s="29" t="n"/>
      <c r="D14" s="42" t="n"/>
    </row>
    <row r="15">
      <c r="A15" s="40" t="n"/>
      <c r="B15" s="29" t="n"/>
      <c r="C15" s="29" t="n"/>
      <c r="D15" s="42" t="n"/>
    </row>
    <row r="16">
      <c r="A16" s="40" t="n"/>
      <c r="B16" s="29" t="n"/>
      <c r="C16" s="29" t="n"/>
      <c r="D16" s="42" t="n"/>
    </row>
    <row r="17">
      <c r="A17" s="40" t="n"/>
      <c r="B17" s="29" t="n"/>
      <c r="C17" s="29" t="n"/>
      <c r="D17" s="42" t="n"/>
    </row>
    <row r="18">
      <c r="A18" s="40" t="n"/>
      <c r="B18" s="29" t="n"/>
      <c r="C18" s="29" t="n"/>
      <c r="D18" s="42" t="n"/>
    </row>
    <row r="19">
      <c r="A19" s="40" t="n"/>
      <c r="B19" s="29" t="n"/>
      <c r="C19" s="29" t="n"/>
      <c r="D19" s="42" t="n"/>
    </row>
    <row r="20">
      <c r="A20" s="40" t="n"/>
      <c r="B20" s="29" t="n"/>
      <c r="C20" s="29" t="n"/>
      <c r="D20" s="42" t="n"/>
    </row>
    <row r="21">
      <c r="A21" s="40" t="n"/>
      <c r="B21" s="29" t="n"/>
      <c r="C21" s="29" t="n"/>
      <c r="D21" s="42" t="n"/>
    </row>
    <row r="22">
      <c r="A22" s="40" t="n"/>
      <c r="B22" s="29" t="n"/>
      <c r="C22" s="29" t="n"/>
      <c r="D22" s="42" t="n"/>
    </row>
    <row r="23">
      <c r="A23" s="40" t="n"/>
      <c r="B23" s="29" t="n"/>
      <c r="C23" s="29" t="n"/>
      <c r="D23" s="42" t="n"/>
    </row>
    <row r="24">
      <c r="A24" s="40" t="n"/>
      <c r="B24" s="29" t="n"/>
      <c r="C24" s="29" t="n"/>
      <c r="D24" s="42" t="n"/>
    </row>
    <row r="25">
      <c r="A25" s="40" t="n"/>
      <c r="B25" s="29" t="n"/>
      <c r="C25" s="29" t="n"/>
      <c r="D25" s="42" t="n"/>
    </row>
    <row r="26">
      <c r="A26" s="40" t="n"/>
      <c r="B26" s="29" t="n"/>
      <c r="C26" s="29" t="n"/>
      <c r="D26" s="42" t="n"/>
    </row>
    <row r="27">
      <c r="A27" s="40" t="n"/>
      <c r="B27" s="29" t="n"/>
      <c r="C27" s="29" t="n"/>
      <c r="D27" s="42" t="n"/>
    </row>
    <row r="28">
      <c r="A28" s="40" t="n"/>
      <c r="B28" s="29" t="n"/>
      <c r="C28" s="29" t="n"/>
      <c r="D28" s="42" t="n"/>
    </row>
    <row r="29">
      <c r="A29" s="40" t="n"/>
      <c r="B29" s="29" t="n"/>
      <c r="C29" s="29" t="n"/>
      <c r="D29" s="42" t="n"/>
    </row>
    <row r="30">
      <c r="A30" s="40" t="n"/>
      <c r="B30" s="29" t="n"/>
      <c r="C30" s="29" t="n"/>
      <c r="D30" s="42" t="n"/>
    </row>
    <row r="31">
      <c r="A31" s="40" t="n"/>
      <c r="B31" s="29" t="n"/>
      <c r="C31" s="29" t="n"/>
      <c r="D31" s="42" t="n"/>
    </row>
    <row r="32">
      <c r="A32" s="40" t="n"/>
      <c r="B32" s="29" t="n"/>
      <c r="C32" s="29" t="n"/>
      <c r="D32" s="42" t="n"/>
    </row>
    <row r="33">
      <c r="A33" s="40" t="n"/>
      <c r="B33" s="29" t="n"/>
      <c r="C33" s="29" t="n"/>
      <c r="D33" s="42" t="n"/>
    </row>
    <row r="34">
      <c r="A34" s="40" t="n"/>
      <c r="B34" s="29" t="n"/>
      <c r="C34" s="29" t="n"/>
      <c r="D34" s="42" t="n"/>
    </row>
    <row r="35">
      <c r="A35" s="40" t="n"/>
      <c r="B35" s="29" t="n"/>
      <c r="C35" s="29" t="n"/>
      <c r="D35" s="42" t="n"/>
    </row>
    <row r="36">
      <c r="A36" s="40" t="n"/>
      <c r="B36" s="29" t="n"/>
      <c r="C36" s="29" t="n"/>
      <c r="D36" s="42" t="n"/>
    </row>
    <row r="37">
      <c r="A37" s="40" t="n"/>
      <c r="B37" s="29" t="n"/>
      <c r="C37" s="29" t="n"/>
      <c r="D37" s="42" t="n"/>
    </row>
    <row r="38">
      <c r="A38" s="40" t="n"/>
      <c r="B38" s="29" t="n"/>
      <c r="C38" s="29" t="n"/>
      <c r="D38" s="42" t="n"/>
    </row>
    <row r="39">
      <c r="A39" s="40" t="n"/>
      <c r="B39" s="29" t="n"/>
      <c r="C39" s="29" t="n"/>
      <c r="D39" s="42" t="n"/>
    </row>
    <row r="40">
      <c r="A40" s="40" t="n"/>
      <c r="B40" s="29" t="n"/>
      <c r="C40" s="29" t="n"/>
      <c r="D40" s="42" t="n"/>
    </row>
    <row r="41">
      <c r="A41" s="40" t="n"/>
      <c r="B41" s="29" t="n"/>
      <c r="C41" s="29" t="n"/>
      <c r="D41" s="42" t="n"/>
    </row>
    <row r="42">
      <c r="A42" s="40" t="n"/>
      <c r="B42" s="29" t="n"/>
      <c r="C42" s="29" t="n"/>
      <c r="D42" s="42" t="n"/>
    </row>
    <row r="43">
      <c r="A43" s="40" t="n"/>
      <c r="B43" s="29" t="n"/>
      <c r="C43" s="29" t="n"/>
      <c r="D43" s="42" t="n"/>
    </row>
    <row r="44">
      <c r="A44" s="40" t="n"/>
      <c r="B44" s="29" t="n"/>
      <c r="C44" s="29" t="n"/>
      <c r="D44" s="42" t="n"/>
    </row>
    <row r="45">
      <c r="A45" s="40" t="n"/>
      <c r="B45" s="29" t="n"/>
      <c r="C45" s="29" t="n"/>
      <c r="D45" s="42" t="n"/>
    </row>
    <row r="46">
      <c r="A46" s="40" t="n"/>
      <c r="B46" s="29" t="n"/>
      <c r="C46" s="29" t="n"/>
      <c r="D46" s="42" t="n"/>
    </row>
    <row r="47">
      <c r="A47" s="40" t="n"/>
      <c r="B47" s="29" t="n"/>
      <c r="C47" s="29" t="n"/>
      <c r="D47" s="42" t="n"/>
    </row>
    <row r="48">
      <c r="A48" s="40" t="n"/>
      <c r="B48" s="29" t="n"/>
      <c r="C48" s="29" t="n"/>
      <c r="D48" s="42" t="n"/>
    </row>
    <row r="49">
      <c r="A49" s="40" t="n"/>
      <c r="B49" s="29" t="n"/>
      <c r="C49" s="29" t="n"/>
      <c r="D49" s="42" t="n"/>
    </row>
    <row r="50">
      <c r="A50" s="40" t="n"/>
      <c r="B50" s="29" t="n"/>
      <c r="C50" s="29" t="n"/>
      <c r="D50" s="42" t="n"/>
    </row>
    <row r="51">
      <c r="A51" s="40" t="n"/>
      <c r="B51" s="29" t="n"/>
      <c r="C51" s="29" t="n"/>
      <c r="D51" s="42" t="n"/>
    </row>
    <row r="52">
      <c r="A52" s="40" t="n"/>
      <c r="B52" s="29" t="n"/>
      <c r="C52" s="29" t="n"/>
      <c r="D52" s="42" t="n"/>
    </row>
    <row r="53">
      <c r="A53" s="40" t="n"/>
      <c r="B53" s="29" t="n"/>
      <c r="C53" s="29" t="n"/>
      <c r="D53" s="42" t="n"/>
    </row>
    <row r="54">
      <c r="A54" s="40" t="n"/>
      <c r="B54" s="29" t="n"/>
      <c r="C54" s="29" t="n"/>
      <c r="D54" s="42" t="n"/>
    </row>
    <row r="55">
      <c r="A55" s="40" t="n"/>
      <c r="B55" s="29" t="n"/>
      <c r="C55" s="29" t="n"/>
      <c r="D55" s="42" t="n"/>
    </row>
    <row r="56">
      <c r="A56" s="40" t="n"/>
      <c r="B56" s="29" t="n"/>
      <c r="C56" s="29" t="n"/>
      <c r="D56" s="42" t="n"/>
    </row>
    <row r="57">
      <c r="A57" s="40" t="n"/>
      <c r="B57" s="29" t="n"/>
      <c r="C57" s="29" t="n"/>
      <c r="D57" s="42" t="n"/>
    </row>
    <row r="58">
      <c r="A58" s="40" t="n"/>
      <c r="B58" s="29" t="n"/>
      <c r="C58" s="29" t="n"/>
      <c r="D58" s="42" t="n"/>
    </row>
    <row r="59">
      <c r="A59" s="40" t="n"/>
      <c r="B59" s="29" t="n"/>
      <c r="C59" s="29" t="n"/>
      <c r="D59" s="42" t="n"/>
    </row>
    <row r="60">
      <c r="A60" s="40" t="n"/>
      <c r="B60" s="29" t="n"/>
      <c r="C60" s="29" t="n"/>
      <c r="D60" s="42" t="n"/>
    </row>
    <row r="61">
      <c r="A61" s="40" t="n"/>
      <c r="B61" s="29" t="n"/>
      <c r="C61" s="29" t="n"/>
      <c r="D61" s="42" t="n"/>
    </row>
    <row r="62">
      <c r="A62" s="40" t="n"/>
      <c r="B62" s="29" t="n"/>
      <c r="C62" s="29" t="n"/>
      <c r="D62" s="42" t="n"/>
    </row>
    <row r="63">
      <c r="A63" s="40" t="n"/>
      <c r="B63" s="29" t="n"/>
      <c r="C63" s="29" t="n"/>
      <c r="D63" s="42" t="n"/>
    </row>
    <row r="64">
      <c r="A64" s="40" t="n"/>
      <c r="B64" s="29" t="n"/>
      <c r="C64" s="29" t="n"/>
      <c r="D64" s="42" t="n"/>
    </row>
    <row r="65">
      <c r="A65" s="40" t="n"/>
      <c r="B65" s="29" t="n"/>
      <c r="C65" s="29" t="n"/>
      <c r="D65" s="42" t="n"/>
    </row>
    <row r="66">
      <c r="A66" s="40" t="n"/>
      <c r="B66" s="29" t="n"/>
      <c r="C66" s="29" t="n"/>
      <c r="D66" s="42" t="n"/>
    </row>
    <row r="67">
      <c r="A67" s="40" t="n"/>
      <c r="B67" s="29" t="n"/>
      <c r="C67" s="29" t="n"/>
      <c r="D67" s="42" t="n"/>
    </row>
    <row r="68">
      <c r="A68" s="40" t="n"/>
      <c r="B68" s="29" t="n"/>
      <c r="C68" s="29" t="n"/>
      <c r="D68" s="42" t="n"/>
    </row>
    <row r="69">
      <c r="A69" s="40" t="n"/>
      <c r="B69" s="29" t="n"/>
      <c r="C69" s="29" t="n"/>
      <c r="D69" s="42" t="n"/>
    </row>
    <row r="70">
      <c r="A70" s="40" t="n"/>
      <c r="B70" s="29" t="n"/>
      <c r="C70" s="29" t="n"/>
      <c r="D70" s="42" t="n"/>
    </row>
    <row r="71">
      <c r="A71" s="40" t="n"/>
      <c r="B71" s="29" t="n"/>
      <c r="C71" s="29" t="n"/>
      <c r="D71" s="42" t="n"/>
    </row>
    <row r="72">
      <c r="A72" s="40" t="n"/>
      <c r="B72" s="29" t="n"/>
      <c r="C72" s="29" t="n"/>
      <c r="D72" s="42" t="n"/>
    </row>
    <row r="73">
      <c r="A73" s="40" t="n"/>
      <c r="B73" s="29" t="n"/>
      <c r="C73" s="29" t="n"/>
      <c r="D73" s="42" t="n"/>
    </row>
    <row r="74">
      <c r="A74" s="40" t="n"/>
      <c r="B74" s="29" t="n"/>
      <c r="C74" s="29" t="n"/>
      <c r="D74" s="42" t="n"/>
    </row>
    <row r="75">
      <c r="A75" s="40" t="n"/>
      <c r="B75" s="29" t="n"/>
      <c r="C75" s="29" t="n"/>
      <c r="D75" s="42" t="n"/>
    </row>
    <row r="76">
      <c r="A76" s="40" t="n"/>
      <c r="B76" s="29" t="n"/>
      <c r="C76" s="29" t="n"/>
      <c r="D76" s="42" t="n"/>
    </row>
    <row r="77">
      <c r="A77" s="40" t="n"/>
      <c r="B77" s="29" t="n"/>
      <c r="C77" s="29" t="n"/>
      <c r="D77" s="42" t="n"/>
    </row>
    <row r="78">
      <c r="A78" s="40" t="n"/>
      <c r="B78" s="29" t="n"/>
      <c r="C78" s="29" t="n"/>
      <c r="D78" s="42" t="n"/>
    </row>
    <row r="79">
      <c r="A79" s="40" t="n"/>
      <c r="B79" s="29" t="n"/>
      <c r="C79" s="29" t="n"/>
      <c r="D79" s="42" t="n"/>
    </row>
    <row r="80">
      <c r="A80" s="40" t="n"/>
      <c r="B80" s="29" t="n"/>
      <c r="C80" s="29" t="n"/>
      <c r="D80" s="42" t="n"/>
    </row>
    <row r="81">
      <c r="A81" s="40" t="n"/>
      <c r="B81" s="29" t="n"/>
      <c r="C81" s="29" t="n"/>
      <c r="D81" s="42" t="n"/>
    </row>
    <row r="82">
      <c r="A82" s="40" t="n"/>
      <c r="B82" s="29" t="n"/>
      <c r="C82" s="29" t="n"/>
      <c r="D82" s="42" t="n"/>
    </row>
    <row r="83">
      <c r="A83" s="40" t="n"/>
      <c r="B83" s="29" t="n"/>
      <c r="C83" s="29" t="n"/>
      <c r="D83" s="42" t="n"/>
    </row>
    <row r="84">
      <c r="A84" s="40" t="n"/>
      <c r="B84" s="29" t="n"/>
      <c r="C84" s="29" t="n"/>
      <c r="D84" s="42" t="n"/>
    </row>
    <row r="85">
      <c r="A85" s="40" t="n"/>
      <c r="B85" s="29" t="n"/>
      <c r="C85" s="29" t="n"/>
      <c r="D85" s="42" t="n"/>
    </row>
    <row r="86">
      <c r="A86" s="40" t="n"/>
      <c r="B86" s="29" t="n"/>
      <c r="C86" s="29" t="n"/>
      <c r="D86" s="42" t="n"/>
    </row>
    <row r="87">
      <c r="A87" s="40" t="n"/>
      <c r="B87" s="29" t="n"/>
      <c r="C87" s="29" t="n"/>
      <c r="D87" s="42" t="n"/>
    </row>
    <row r="88">
      <c r="A88" s="40" t="n"/>
      <c r="B88" s="29" t="n"/>
      <c r="C88" s="29" t="n"/>
      <c r="D88" s="42" t="n"/>
    </row>
    <row r="89">
      <c r="A89" s="40" t="n"/>
      <c r="B89" s="29" t="n"/>
      <c r="C89" s="29" t="n"/>
      <c r="D89" s="42" t="n"/>
    </row>
    <row r="90">
      <c r="A90" s="40" t="n"/>
      <c r="B90" s="29" t="n"/>
      <c r="C90" s="29" t="n"/>
      <c r="D90" s="42" t="n"/>
    </row>
    <row r="91">
      <c r="A91" s="40" t="n"/>
      <c r="B91" s="29" t="n"/>
      <c r="C91" s="29" t="n"/>
      <c r="D91" s="42" t="n"/>
    </row>
    <row r="92">
      <c r="A92" s="40" t="n"/>
      <c r="B92" s="29" t="n"/>
      <c r="C92" s="29" t="n"/>
      <c r="D92" s="42" t="n"/>
    </row>
    <row r="93">
      <c r="A93" s="40" t="n"/>
      <c r="B93" s="29" t="n"/>
      <c r="C93" s="29" t="n"/>
      <c r="D93" s="42" t="n"/>
    </row>
    <row r="94">
      <c r="A94" s="40" t="n"/>
      <c r="B94" s="29" t="n"/>
      <c r="C94" s="29" t="n"/>
      <c r="D94" s="42" t="n"/>
    </row>
    <row r="95">
      <c r="A95" s="40" t="n"/>
      <c r="B95" s="29" t="n"/>
      <c r="C95" s="29" t="n"/>
      <c r="D95" s="42" t="n"/>
    </row>
    <row r="96">
      <c r="A96" s="40" t="n"/>
      <c r="B96" s="29" t="n"/>
      <c r="C96" s="29" t="n"/>
      <c r="D96" s="42" t="n"/>
    </row>
    <row r="97">
      <c r="A97" s="40" t="n"/>
      <c r="B97" s="29" t="n"/>
      <c r="C97" s="29" t="n"/>
      <c r="D97" s="42" t="n"/>
    </row>
    <row r="98">
      <c r="A98" s="40" t="n"/>
      <c r="B98" s="29" t="n"/>
      <c r="C98" s="29" t="n"/>
      <c r="D98" s="42" t="n"/>
    </row>
    <row r="99">
      <c r="A99" s="40" t="n"/>
      <c r="B99" s="29" t="n"/>
      <c r="C99" s="29" t="n"/>
      <c r="D99" s="42" t="n"/>
    </row>
    <row r="100">
      <c r="A100" s="40" t="n"/>
      <c r="B100" s="29" t="n"/>
      <c r="C100" s="29" t="n"/>
      <c r="D100" s="42" t="n"/>
    </row>
    <row r="101">
      <c r="A101" s="40" t="n"/>
      <c r="B101" s="29" t="n"/>
      <c r="C101" s="29" t="n"/>
      <c r="D101" s="42" t="n"/>
    </row>
    <row r="102">
      <c r="A102" s="40" t="n"/>
      <c r="B102" s="29" t="n"/>
      <c r="C102" s="29" t="n"/>
      <c r="D102" s="42" t="n"/>
    </row>
    <row r="103">
      <c r="A103" s="40" t="n"/>
      <c r="B103" s="29" t="n"/>
      <c r="C103" s="29" t="n"/>
      <c r="D103" s="42" t="n"/>
    </row>
    <row r="104">
      <c r="A104" s="40" t="n"/>
      <c r="B104" s="29" t="n"/>
      <c r="C104" s="29" t="n"/>
      <c r="D104" s="42" t="n"/>
    </row>
    <row r="105">
      <c r="A105" s="40" t="n"/>
      <c r="B105" s="29" t="n"/>
      <c r="C105" s="29" t="n"/>
      <c r="D105" s="42" t="n"/>
    </row>
    <row r="106">
      <c r="A106" s="40" t="n"/>
      <c r="B106" s="29" t="n"/>
      <c r="C106" s="29" t="n"/>
      <c r="D106" s="42" t="n"/>
    </row>
    <row r="107">
      <c r="A107" s="40" t="n"/>
      <c r="B107" s="29" t="n"/>
      <c r="C107" s="29" t="n"/>
      <c r="D107" s="42" t="n"/>
    </row>
    <row r="108">
      <c r="A108" s="40" t="n"/>
      <c r="B108" s="29" t="n"/>
      <c r="C108" s="29" t="n"/>
      <c r="D108" s="42" t="n"/>
    </row>
    <row r="109">
      <c r="A109" s="40" t="n"/>
      <c r="B109" s="29" t="n"/>
      <c r="C109" s="29" t="n"/>
      <c r="D109" s="42" t="n"/>
    </row>
    <row r="110">
      <c r="A110" s="40" t="n"/>
      <c r="B110" s="29" t="n"/>
      <c r="C110" s="29" t="n"/>
      <c r="D110" s="42" t="n"/>
    </row>
    <row r="111">
      <c r="A111" s="40" t="n"/>
      <c r="B111" s="29" t="n"/>
      <c r="C111" s="29" t="n"/>
      <c r="D111" s="42" t="n"/>
    </row>
    <row r="112">
      <c r="A112" s="40" t="n"/>
      <c r="B112" s="29" t="n"/>
      <c r="C112" s="29" t="n"/>
      <c r="D112" s="42" t="n"/>
    </row>
    <row r="113">
      <c r="A113" s="40" t="n"/>
      <c r="B113" s="29" t="n"/>
      <c r="C113" s="29" t="n"/>
      <c r="D113" s="42" t="n"/>
    </row>
    <row r="114">
      <c r="A114" s="40" t="n"/>
      <c r="B114" s="29" t="n"/>
      <c r="C114" s="29" t="n"/>
      <c r="D114" s="42" t="n"/>
    </row>
    <row r="115">
      <c r="A115" s="40" t="n"/>
      <c r="B115" s="29" t="n"/>
      <c r="C115" s="29" t="n"/>
      <c r="D115" s="42" t="n"/>
    </row>
    <row r="116">
      <c r="A116" s="40" t="n"/>
      <c r="B116" s="29" t="n"/>
      <c r="C116" s="29" t="n"/>
      <c r="D116" s="42" t="n"/>
    </row>
    <row r="117">
      <c r="A117" s="40" t="n"/>
      <c r="B117" s="29" t="n"/>
      <c r="C117" s="29" t="n"/>
      <c r="D117" s="42" t="n"/>
    </row>
    <row r="118">
      <c r="A118" s="40" t="n"/>
      <c r="B118" s="29" t="n"/>
      <c r="C118" s="29" t="n"/>
      <c r="D118" s="42" t="n"/>
    </row>
    <row r="119">
      <c r="A119" s="40" t="n"/>
      <c r="B119" s="29" t="n"/>
      <c r="C119" s="29" t="n"/>
      <c r="D119" s="42" t="n"/>
    </row>
    <row r="120">
      <c r="A120" s="40" t="n"/>
      <c r="B120" s="29" t="n"/>
      <c r="C120" s="29" t="n"/>
      <c r="D120" s="42" t="n"/>
    </row>
    <row r="121">
      <c r="A121" s="40" t="n"/>
      <c r="B121" s="29" t="n"/>
      <c r="C121" s="29" t="n"/>
      <c r="D121" s="42" t="n"/>
    </row>
    <row r="122">
      <c r="A122" s="40" t="n"/>
      <c r="B122" s="29" t="n"/>
      <c r="C122" s="29" t="n"/>
      <c r="D122" s="42" t="n"/>
    </row>
    <row r="123">
      <c r="A123" s="40" t="n"/>
      <c r="B123" s="29" t="n"/>
      <c r="C123" s="29" t="n"/>
      <c r="D123" s="42" t="n"/>
    </row>
    <row r="124">
      <c r="A124" s="40" t="n"/>
      <c r="B124" s="29" t="n"/>
      <c r="C124" s="29" t="n"/>
      <c r="D124" s="42" t="n"/>
    </row>
    <row r="125">
      <c r="A125" s="40" t="n"/>
      <c r="B125" s="29" t="n"/>
      <c r="C125" s="29" t="n"/>
      <c r="D125" s="42" t="n"/>
    </row>
    <row r="126">
      <c r="A126" s="40" t="n"/>
      <c r="B126" s="29" t="n"/>
      <c r="C126" s="29" t="n"/>
      <c r="D126" s="42" t="n"/>
    </row>
    <row r="127">
      <c r="A127" s="40" t="n"/>
      <c r="B127" s="29" t="n"/>
      <c r="C127" s="29" t="n"/>
      <c r="D127" s="42" t="n"/>
    </row>
    <row r="128">
      <c r="A128" s="40" t="n"/>
      <c r="B128" s="29" t="n"/>
      <c r="C128" s="29" t="n"/>
      <c r="D128" s="42" t="n"/>
    </row>
    <row r="129">
      <c r="A129" s="40" t="n"/>
      <c r="B129" s="29" t="n"/>
      <c r="C129" s="29" t="n"/>
      <c r="D129" s="42" t="n"/>
    </row>
    <row r="130">
      <c r="A130" s="40" t="n"/>
      <c r="B130" s="29" t="n"/>
      <c r="C130" s="29" t="n"/>
      <c r="D130" s="42" t="n"/>
    </row>
    <row r="131">
      <c r="A131" s="40" t="n"/>
      <c r="B131" s="29" t="n"/>
      <c r="C131" s="29" t="n"/>
      <c r="D131" s="42" t="n"/>
    </row>
    <row r="132">
      <c r="A132" s="40" t="n"/>
      <c r="B132" s="29" t="n"/>
      <c r="C132" s="29" t="n"/>
      <c r="D132" s="42" t="n"/>
    </row>
    <row r="133">
      <c r="A133" s="40" t="n"/>
      <c r="B133" s="29" t="n"/>
      <c r="C133" s="29" t="n"/>
      <c r="D133" s="42" t="n"/>
    </row>
    <row r="134">
      <c r="A134" s="40" t="n"/>
      <c r="B134" s="29" t="n"/>
      <c r="C134" s="29" t="n"/>
      <c r="D134" s="42" t="n"/>
    </row>
    <row r="135">
      <c r="A135" s="40" t="n"/>
      <c r="B135" s="29" t="n"/>
      <c r="C135" s="29" t="n"/>
      <c r="D135" s="42" t="n"/>
    </row>
    <row r="136">
      <c r="A136" s="40" t="n"/>
      <c r="B136" s="29" t="n"/>
      <c r="C136" s="29" t="n"/>
      <c r="D136" s="42" t="n"/>
    </row>
    <row r="137">
      <c r="A137" s="40" t="n"/>
      <c r="B137" s="29" t="n"/>
      <c r="C137" s="29" t="n"/>
      <c r="D137" s="42" t="n"/>
    </row>
    <row r="138">
      <c r="A138" s="40" t="n"/>
      <c r="B138" s="29" t="n"/>
      <c r="C138" s="29" t="n"/>
      <c r="D138" s="42" t="n"/>
    </row>
    <row r="139">
      <c r="A139" s="40" t="n"/>
      <c r="B139" s="29" t="n"/>
      <c r="C139" s="29" t="n"/>
      <c r="D139" s="42" t="n"/>
    </row>
    <row r="140">
      <c r="A140" s="40" t="n"/>
      <c r="B140" s="29" t="n"/>
      <c r="C140" s="29" t="n"/>
      <c r="D140" s="42" t="n"/>
    </row>
    <row r="141">
      <c r="A141" s="40" t="n"/>
      <c r="B141" s="29" t="n"/>
      <c r="C141" s="29" t="n"/>
      <c r="D141" s="42" t="n"/>
    </row>
    <row r="142">
      <c r="A142" s="40" t="n"/>
      <c r="B142" s="29" t="n"/>
      <c r="C142" s="29" t="n"/>
      <c r="D142" s="42" t="n"/>
    </row>
    <row r="143">
      <c r="A143" s="40" t="n"/>
      <c r="B143" s="29" t="n"/>
      <c r="C143" s="29" t="n"/>
      <c r="D143" s="42" t="n"/>
    </row>
    <row r="144">
      <c r="A144" s="40" t="n"/>
      <c r="B144" s="29" t="n"/>
      <c r="C144" s="29" t="n"/>
      <c r="D144" s="42" t="n"/>
    </row>
    <row r="145">
      <c r="A145" s="40" t="n"/>
      <c r="B145" s="29" t="n"/>
      <c r="C145" s="29" t="n"/>
      <c r="D145" s="42" t="n"/>
    </row>
    <row r="146">
      <c r="A146" s="40" t="n"/>
      <c r="B146" s="29" t="n"/>
      <c r="C146" s="29" t="n"/>
      <c r="D146" s="42" t="n"/>
    </row>
    <row r="147">
      <c r="A147" s="40" t="n"/>
      <c r="B147" s="29" t="n"/>
      <c r="C147" s="29" t="n"/>
      <c r="D147" s="42" t="n"/>
    </row>
    <row r="148">
      <c r="A148" s="40" t="n"/>
      <c r="B148" s="29" t="n"/>
      <c r="C148" s="29" t="n"/>
      <c r="D148" s="42" t="n"/>
    </row>
    <row r="149">
      <c r="A149" s="40" t="n"/>
      <c r="B149" s="29" t="n"/>
      <c r="C149" s="29" t="n"/>
      <c r="D149" s="42" t="n"/>
    </row>
    <row r="150">
      <c r="A150" s="40" t="n"/>
      <c r="B150" s="29" t="n"/>
      <c r="C150" s="29" t="n"/>
      <c r="D150" s="42" t="n"/>
    </row>
    <row r="151">
      <c r="A151" s="40" t="n"/>
      <c r="B151" s="29" t="n"/>
      <c r="C151" s="29" t="n"/>
      <c r="D151" s="42" t="n"/>
    </row>
    <row r="152">
      <c r="A152" s="40" t="n"/>
      <c r="B152" s="29" t="n"/>
      <c r="C152" s="29" t="n"/>
      <c r="D152" s="42" t="n"/>
    </row>
    <row r="153">
      <c r="A153" s="40" t="n"/>
      <c r="B153" s="29" t="n"/>
      <c r="C153" s="29" t="n"/>
      <c r="D153" s="42" t="n"/>
    </row>
    <row r="154">
      <c r="A154" s="40" t="n"/>
      <c r="B154" s="29" t="n"/>
      <c r="C154" s="29" t="n"/>
      <c r="D154" s="42" t="n"/>
    </row>
    <row r="155">
      <c r="A155" s="40" t="n"/>
      <c r="B155" s="29" t="n"/>
      <c r="C155" s="29" t="n"/>
      <c r="D155" s="42" t="n"/>
    </row>
    <row r="156">
      <c r="A156" s="40" t="n"/>
      <c r="B156" s="29" t="n"/>
      <c r="C156" s="29" t="n"/>
      <c r="D156" s="42" t="n"/>
    </row>
    <row r="157">
      <c r="A157" s="40" t="n"/>
      <c r="B157" s="29" t="n"/>
      <c r="C157" s="29" t="n"/>
      <c r="D157" s="42" t="n"/>
    </row>
    <row r="158">
      <c r="A158" s="40" t="n"/>
      <c r="B158" s="29" t="n"/>
      <c r="C158" s="29" t="n"/>
      <c r="D158" s="42" t="n"/>
    </row>
    <row r="159">
      <c r="A159" s="40" t="n"/>
      <c r="B159" s="29" t="n"/>
      <c r="C159" s="29" t="n"/>
      <c r="D159" s="42" t="n"/>
    </row>
    <row r="160">
      <c r="A160" s="40" t="n"/>
      <c r="B160" s="29" t="n"/>
      <c r="C160" s="29" t="n"/>
      <c r="D160" s="42" t="n"/>
    </row>
    <row r="161">
      <c r="A161" s="40" t="n"/>
      <c r="B161" s="29" t="n"/>
      <c r="C161" s="29" t="n"/>
      <c r="D161" s="42" t="n"/>
    </row>
    <row r="162">
      <c r="A162" s="40" t="n"/>
      <c r="B162" s="29" t="n"/>
      <c r="C162" s="29" t="n"/>
      <c r="D162" s="42" t="n"/>
    </row>
    <row r="163">
      <c r="A163" s="40" t="n"/>
      <c r="B163" s="29" t="n"/>
      <c r="C163" s="29" t="n"/>
      <c r="D163" s="42" t="n"/>
    </row>
    <row r="164">
      <c r="A164" s="40" t="n"/>
      <c r="B164" s="29" t="n"/>
      <c r="C164" s="29" t="n"/>
      <c r="D164" s="42" t="n"/>
    </row>
    <row r="165">
      <c r="A165" s="40" t="n"/>
      <c r="B165" s="29" t="n"/>
      <c r="C165" s="29" t="n"/>
      <c r="D165" s="42" t="n"/>
    </row>
    <row r="166">
      <c r="A166" s="40" t="n"/>
      <c r="B166" s="29" t="n"/>
      <c r="C166" s="29" t="n"/>
      <c r="D166" s="42" t="n"/>
    </row>
    <row r="167">
      <c r="A167" s="40" t="n"/>
      <c r="B167" s="29" t="n"/>
      <c r="C167" s="29" t="n"/>
      <c r="D167" s="42" t="n"/>
    </row>
    <row r="168">
      <c r="A168" s="40" t="n"/>
      <c r="B168" s="29" t="n"/>
      <c r="C168" s="29" t="n"/>
      <c r="D168" s="42" t="n"/>
    </row>
    <row r="169">
      <c r="A169" s="40" t="n"/>
      <c r="B169" s="29" t="n"/>
      <c r="C169" s="29" t="n"/>
      <c r="D169" s="42" t="n"/>
    </row>
    <row r="170">
      <c r="A170" s="40" t="n"/>
      <c r="B170" s="29" t="n"/>
      <c r="C170" s="29" t="n"/>
      <c r="D170" s="42" t="n"/>
    </row>
    <row r="171">
      <c r="A171" s="40" t="n"/>
      <c r="B171" s="29" t="n"/>
      <c r="C171" s="29" t="n"/>
      <c r="D171" s="42" t="n"/>
    </row>
    <row r="172">
      <c r="A172" s="40" t="n"/>
      <c r="B172" s="29" t="n"/>
      <c r="C172" s="29" t="n"/>
      <c r="D172" s="42" t="n"/>
    </row>
    <row r="173">
      <c r="A173" s="40" t="n"/>
      <c r="B173" s="29" t="n"/>
      <c r="C173" s="29" t="n"/>
      <c r="D173" s="42" t="n"/>
    </row>
    <row r="174">
      <c r="A174" s="40" t="n"/>
      <c r="B174" s="29" t="n"/>
      <c r="C174" s="29" t="n"/>
      <c r="D174" s="42" t="n"/>
    </row>
    <row r="175">
      <c r="A175" s="40" t="n"/>
      <c r="B175" s="29" t="n"/>
      <c r="C175" s="29" t="n"/>
      <c r="D175" s="42" t="n"/>
    </row>
    <row r="176">
      <c r="A176" s="40" t="n"/>
      <c r="B176" s="29" t="n"/>
      <c r="C176" s="29" t="n"/>
      <c r="D176" s="42" t="n"/>
    </row>
    <row r="177">
      <c r="A177" s="40" t="n"/>
      <c r="B177" s="29" t="n"/>
      <c r="C177" s="29" t="n"/>
      <c r="D177" s="42" t="n"/>
    </row>
    <row r="178">
      <c r="A178" s="40" t="n"/>
      <c r="B178" s="29" t="n"/>
      <c r="C178" s="29" t="n"/>
      <c r="D178" s="42" t="n"/>
    </row>
    <row r="179">
      <c r="A179" s="40" t="n"/>
      <c r="B179" s="29" t="n"/>
      <c r="C179" s="29" t="n"/>
      <c r="D179" s="42" t="n"/>
    </row>
    <row r="180">
      <c r="A180" s="40" t="n"/>
      <c r="B180" s="29" t="n"/>
      <c r="C180" s="29" t="n"/>
      <c r="D180" s="42" t="n"/>
    </row>
    <row r="181">
      <c r="A181" s="40" t="n"/>
      <c r="B181" s="29" t="n"/>
      <c r="C181" s="29" t="n"/>
      <c r="D181" s="42" t="n"/>
    </row>
    <row r="182">
      <c r="A182" s="40" t="n"/>
      <c r="B182" s="29" t="n"/>
      <c r="C182" s="29" t="n"/>
      <c r="D182" s="42" t="n"/>
    </row>
    <row r="183">
      <c r="A183" s="40" t="n"/>
      <c r="B183" s="29" t="n"/>
      <c r="C183" s="29" t="n"/>
      <c r="D183" s="42" t="n"/>
    </row>
    <row r="184">
      <c r="A184" s="40" t="n"/>
      <c r="B184" s="29" t="n"/>
      <c r="C184" s="29" t="n"/>
      <c r="D184" s="42" t="n"/>
    </row>
    <row r="185">
      <c r="A185" s="40" t="n"/>
      <c r="B185" s="29" t="n"/>
      <c r="C185" s="29" t="n"/>
      <c r="D185" s="42" t="n"/>
    </row>
    <row r="186">
      <c r="A186" s="40" t="n"/>
      <c r="B186" s="29" t="n"/>
      <c r="C186" s="29" t="n"/>
      <c r="D186" s="42" t="n"/>
    </row>
    <row r="187">
      <c r="A187" s="40" t="n"/>
      <c r="B187" s="29" t="n"/>
      <c r="C187" s="29" t="n"/>
      <c r="D187" s="42" t="n"/>
    </row>
    <row r="188">
      <c r="A188" s="40" t="n"/>
      <c r="B188" s="29" t="n"/>
      <c r="C188" s="29" t="n"/>
      <c r="D188" s="42" t="n"/>
    </row>
    <row r="189">
      <c r="A189" s="40" t="n"/>
      <c r="B189" s="29" t="n"/>
      <c r="C189" s="29" t="n"/>
      <c r="D189" s="42" t="n"/>
    </row>
    <row r="190">
      <c r="A190" s="40" t="n"/>
      <c r="B190" s="29" t="n"/>
      <c r="C190" s="29" t="n"/>
      <c r="D190" s="42" t="n"/>
    </row>
    <row r="191">
      <c r="A191" s="40" t="n"/>
      <c r="B191" s="29" t="n"/>
      <c r="C191" s="29" t="n"/>
      <c r="D191" s="42" t="n"/>
    </row>
    <row r="192">
      <c r="A192" s="40" t="n"/>
      <c r="B192" s="29" t="n"/>
      <c r="C192" s="29" t="n"/>
      <c r="D192" s="42" t="n"/>
    </row>
    <row r="193">
      <c r="A193" s="40" t="n"/>
      <c r="B193" s="29" t="n"/>
      <c r="C193" s="29" t="n"/>
      <c r="D193" s="42" t="n"/>
    </row>
    <row r="194">
      <c r="A194" s="40" t="n"/>
      <c r="B194" s="29" t="n"/>
      <c r="C194" s="29" t="n"/>
      <c r="D194" s="42" t="n"/>
    </row>
    <row r="195">
      <c r="A195" s="40" t="n"/>
      <c r="B195" s="29" t="n"/>
      <c r="C195" s="29" t="n"/>
      <c r="D195" s="42" t="n"/>
    </row>
    <row r="196">
      <c r="A196" s="40" t="n"/>
      <c r="B196" s="29" t="n"/>
      <c r="C196" s="29" t="n"/>
      <c r="D196" s="42" t="n"/>
    </row>
    <row r="197">
      <c r="A197" s="40" t="n"/>
      <c r="B197" s="29" t="n"/>
      <c r="C197" s="29" t="n"/>
      <c r="D197" s="42" t="n"/>
    </row>
    <row r="198">
      <c r="A198" s="40" t="n"/>
      <c r="B198" s="29" t="n"/>
      <c r="C198" s="29" t="n"/>
      <c r="D198" s="42" t="n"/>
    </row>
    <row r="199">
      <c r="A199" s="40" t="n"/>
      <c r="B199" s="29" t="n"/>
      <c r="C199" s="29" t="n"/>
      <c r="D199" s="42" t="n"/>
    </row>
    <row r="200">
      <c r="A200" s="40" t="n"/>
      <c r="B200" s="29" t="n"/>
      <c r="C200" s="29" t="n"/>
      <c r="D200" s="42" t="n"/>
    </row>
    <row r="201">
      <c r="A201" s="40" t="n"/>
      <c r="B201" s="29" t="n"/>
      <c r="C201" s="29" t="n"/>
      <c r="D201" s="42" t="n"/>
    </row>
    <row r="202">
      <c r="A202" s="40" t="n"/>
      <c r="B202" s="29" t="n"/>
      <c r="C202" s="29" t="n"/>
      <c r="D202" s="42" t="n"/>
    </row>
  </sheetData>
  <mergeCells count="1">
    <mergeCell ref="A1:D1"/>
  </mergeCells>
  <dataValidations count="2">
    <dataValidation sqref="C3:C202" showDropDown="0" showInputMessage="0" showErrorMessage="0" allowBlank="1" type="list">
      <formula1>"Meta,OnlyFinder,OnlyGuider,OnlySeeker"</formula1>
    </dataValidation>
    <dataValidation sqref="B3:B202" showDropDown="0" showInputMessage="0" showErrorMessage="0" allowBlank="1" type="list">
      <formula1>"June - Sandra,Marissa munoz"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14" customWidth="1" min="4" max="4"/>
    <col width="18" customWidth="1" min="5" max="5"/>
  </cols>
  <sheetData>
    <row r="1">
      <c r="A1" s="39" t="inlineStr">
        <is>
          <t>LINK SETTINGS — blank Override = auto by name. Force a platform, or type Ignore to drop a link.</t>
        </is>
      </c>
    </row>
    <row r="2">
      <c r="A2" s="6" t="inlineStr">
        <is>
          <t>Creator</t>
        </is>
      </c>
      <c r="B2" s="6" t="inlineStr">
        <is>
          <t>Tracking link</t>
        </is>
      </c>
      <c r="C2" s="6" t="inlineStr">
        <is>
          <t>Code</t>
        </is>
      </c>
      <c r="D2" s="6" t="inlineStr">
        <is>
          <t>Auto-detected</t>
        </is>
      </c>
      <c r="E2" s="6" t="inlineStr">
        <is>
          <t>Override</t>
        </is>
      </c>
    </row>
    <row r="3">
      <c r="A3" s="18" t="inlineStr">
        <is>
          <t>June - Sandra</t>
        </is>
      </c>
      <c r="B3" s="18" t="inlineStr">
        <is>
          <t>meta ads</t>
        </is>
      </c>
      <c r="C3" s="29" t="inlineStr">
        <is>
          <t>37</t>
        </is>
      </c>
      <c r="D3" s="43" t="inlineStr">
        <is>
          <t>Meta</t>
        </is>
      </c>
      <c r="E3" s="13" t="inlineStr"/>
    </row>
    <row r="4">
      <c r="A4" s="18" t="inlineStr">
        <is>
          <t>June - Sandra</t>
        </is>
      </c>
      <c r="B4" s="18" t="inlineStr">
        <is>
          <t>onlysearch</t>
        </is>
      </c>
      <c r="C4" s="29" t="inlineStr">
        <is>
          <t>4</t>
        </is>
      </c>
      <c r="D4" s="43" t="inlineStr">
        <is>
          <t>OnlyFinder</t>
        </is>
      </c>
      <c r="E4" s="13" t="inlineStr"/>
    </row>
    <row r="5">
      <c r="A5" s="18" t="inlineStr">
        <is>
          <t>June - Sandra</t>
        </is>
      </c>
      <c r="B5" s="18" t="inlineStr">
        <is>
          <t>Only Guider 1</t>
        </is>
      </c>
      <c r="C5" s="29" t="inlineStr">
        <is>
          <t>3</t>
        </is>
      </c>
      <c r="D5" s="43" t="inlineStr">
        <is>
          <t>OnlyGuider</t>
        </is>
      </c>
      <c r="E5" s="13" t="inlineStr"/>
    </row>
    <row r="6">
      <c r="A6" s="18" t="inlineStr">
        <is>
          <t>June - Sandra</t>
        </is>
      </c>
      <c r="B6" s="18" t="inlineStr">
        <is>
          <t>Onlyfinder 1</t>
        </is>
      </c>
      <c r="C6" s="29" t="inlineStr">
        <is>
          <t>2</t>
        </is>
      </c>
      <c r="D6" s="43" t="inlineStr">
        <is>
          <t>OnlyFinder</t>
        </is>
      </c>
      <c r="E6" s="13" t="inlineStr"/>
    </row>
    <row r="7">
      <c r="A7" s="18" t="inlineStr">
        <is>
          <t>June - Sandra</t>
        </is>
      </c>
      <c r="B7" s="18" t="inlineStr">
        <is>
          <t>Onlyguider</t>
        </is>
      </c>
      <c r="C7" s="29" t="inlineStr">
        <is>
          <t>1</t>
        </is>
      </c>
      <c r="D7" s="43" t="inlineStr">
        <is>
          <t>OnlyGuider</t>
        </is>
      </c>
      <c r="E7" s="13" t="inlineStr"/>
    </row>
    <row r="8">
      <c r="A8" s="18" t="inlineStr">
        <is>
          <t>Marissa munoz</t>
        </is>
      </c>
      <c r="B8" s="18" t="inlineStr">
        <is>
          <t>Onlyfinder new 04/05</t>
        </is>
      </c>
      <c r="C8" s="29" t="inlineStr">
        <is>
          <t>49</t>
        </is>
      </c>
      <c r="D8" s="43" t="inlineStr">
        <is>
          <t>OnlyFinder</t>
        </is>
      </c>
      <c r="E8" s="13" t="inlineStr"/>
    </row>
    <row r="9">
      <c r="A9" s="18" t="inlineStr">
        <is>
          <t>Marissa munoz</t>
        </is>
      </c>
      <c r="B9" s="18" t="inlineStr">
        <is>
          <t>onlyfinder Apr</t>
        </is>
      </c>
      <c r="C9" s="29" t="inlineStr">
        <is>
          <t>46</t>
        </is>
      </c>
      <c r="D9" s="43" t="inlineStr">
        <is>
          <t>OnlyFinder</t>
        </is>
      </c>
      <c r="E9" s="13" t="inlineStr"/>
    </row>
    <row r="10">
      <c r="A10" s="18" t="inlineStr">
        <is>
          <t>Marissa munoz</t>
        </is>
      </c>
      <c r="B10" s="18" t="inlineStr">
        <is>
          <t>Meta ads Gly's IG</t>
        </is>
      </c>
      <c r="C10" s="29" t="inlineStr">
        <is>
          <t>45</t>
        </is>
      </c>
      <c r="D10" s="43" t="inlineStr">
        <is>
          <t>Meta</t>
        </is>
      </c>
      <c r="E10" s="13" t="inlineStr"/>
    </row>
    <row r="11">
      <c r="A11" s="18" t="inlineStr">
        <is>
          <t>Marissa munoz</t>
        </is>
      </c>
      <c r="B11" s="18" t="inlineStr">
        <is>
          <t>Meta ads Finlay's IG</t>
        </is>
      </c>
      <c r="C11" s="29" t="inlineStr">
        <is>
          <t>44</t>
        </is>
      </c>
      <c r="D11" s="43" t="inlineStr">
        <is>
          <t>Meta</t>
        </is>
      </c>
      <c r="E11" s="13" t="inlineStr"/>
    </row>
    <row r="12">
      <c r="A12" s="18" t="inlineStr">
        <is>
          <t>Marissa munoz</t>
        </is>
      </c>
      <c r="B12" s="18" t="inlineStr">
        <is>
          <t>ONLYFINDER</t>
        </is>
      </c>
      <c r="C12" s="29" t="inlineStr">
        <is>
          <t>27</t>
        </is>
      </c>
      <c r="D12" s="43" t="inlineStr">
        <is>
          <t>OnlyFinder</t>
        </is>
      </c>
      <c r="E12" s="13" t="inlineStr"/>
    </row>
  </sheetData>
  <mergeCells count="1">
    <mergeCell ref="A1:E1"/>
  </mergeCells>
  <dataValidations count="1">
    <dataValidation sqref="E3:E213" showDropDown="0" showInputMessage="0" showErrorMessage="0" allowBlank="1" type="list">
      <formula1>"Meta,OnlyFinder,OnlyGuider,OnlySeeker,Ignore"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21" max="21"/>
    <col width="50" customWidth="1" min="23" max="23"/>
  </cols>
  <sheetData>
    <row r="1">
      <c r="A1">
        <f>IFERROR(IMPORTDATA("https://uncvrd-ad-suite.onrender.com/sheet-feed?key=uncvrd2026&amp;sheet="&amp;'Start Here'!$B$2),"")</f>
        <v/>
      </c>
      <c r="U1" s="6" t="inlineStr">
        <is>
          <t>DateKey</t>
        </is>
      </c>
      <c r="W1" s="23" t="inlineStr">
        <is>
          <t>Raw auto data from the UNCVRD server. Don't type here.</t>
        </is>
      </c>
    </row>
    <row r="2">
      <c r="U2">
        <f>ARRAYFORMULA(IF(LEN(A2:A100000)=0,"",TEXT(A2:A100000,"yyyy-mm-dd")))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2026-06-15T12:19:29Z</dcterms:created>
  <dcterms:modified xsi:type="dcterms:W3CDTF">2026-06-15T12:19:29Z</dcterms:modified>
</cp:coreProperties>
</file>