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Dail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d"/>
    <numFmt numFmtId="166" formatCode="$#,##0.00"/>
    <numFmt numFmtId="167" formatCode="0.0%"/>
    <numFmt numFmtId="168" formatCode="0.00&quot;x&quot;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11111"/>
      <sz val="11"/>
    </font>
    <font>
      <b val="1"/>
      <color rgb="00FFFFFF"/>
      <sz val="18"/>
    </font>
    <font>
      <color rgb="006B7280"/>
      <sz val="10"/>
    </font>
    <font>
      <color rgb="00FFFFFF"/>
      <sz val="11"/>
    </font>
    <font>
      <color rgb="00111111"/>
      <sz val="11"/>
    </font>
  </fonts>
  <fills count="9">
    <fill>
      <patternFill/>
    </fill>
    <fill>
      <patternFill patternType="gray125"/>
    </fill>
    <fill>
      <patternFill patternType="solid">
        <fgColor rgb="005B43F5"/>
      </patternFill>
    </fill>
    <fill>
      <patternFill patternType="solid">
        <fgColor rgb="001F2430"/>
      </patternFill>
    </fill>
    <fill>
      <patternFill patternType="solid">
        <fgColor rgb="00E8F6EC"/>
      </patternFill>
    </fill>
    <fill>
      <patternFill patternType="solid">
        <fgColor rgb="00FCEFD7"/>
      </patternFill>
    </fill>
    <fill>
      <patternFill patternType="solid">
        <fgColor rgb="00EEF0F4"/>
      </patternFill>
    </fill>
    <fill>
      <patternFill patternType="solid">
        <fgColor rgb="00FFF6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6" fontId="6" fillId="8" borderId="1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" customWidth="1" min="11" max="11"/>
    <col width="8" customWidth="1" min="12" max="12"/>
    <col width="13" customWidth="1" min="13" max="13"/>
    <col width="22" customWidth="1" min="14" max="14"/>
  </cols>
  <sheetData>
    <row r="1" ht="26" customHeight="1">
      <c r="A1" s="1" t="inlineStr">
        <is>
          <t>UNCVRD — AD SCORECARD</t>
        </is>
      </c>
    </row>
    <row r="2">
      <c r="A2" s="2" t="inlineStr">
        <is>
          <t>Pick a Creator and a Week below. Pulls from the Daily Log. CPC ≤ $0.70, CVR ≥ 25%.</t>
        </is>
      </c>
    </row>
    <row r="3">
      <c r="B3" s="3" t="inlineStr">
        <is>
          <t>Week of (Sun) ▸</t>
        </is>
      </c>
      <c r="C3" s="4" t="n">
        <v>46180</v>
      </c>
      <c r="E3" s="3" t="inlineStr">
        <is>
          <t>Creator ▸</t>
        </is>
      </c>
      <c r="F3" s="5" t="inlineStr">
        <is>
          <t>All</t>
        </is>
      </c>
      <c r="H3" s="2" t="inlineStr">
        <is>
          <t>← pick creator &amp; week</t>
        </is>
      </c>
    </row>
    <row r="4">
      <c r="B4" s="6" t="inlineStr">
        <is>
          <t>METRIC</t>
        </is>
      </c>
      <c r="C4" s="7">
        <f>TEXT(C5,"ddd")</f>
        <v/>
      </c>
      <c r="D4" s="7">
        <f>TEXT(D5,"ddd")</f>
        <v/>
      </c>
      <c r="E4" s="7">
        <f>TEXT(E5,"ddd")</f>
        <v/>
      </c>
      <c r="F4" s="7">
        <f>TEXT(F5,"ddd")</f>
        <v/>
      </c>
      <c r="G4" s="7">
        <f>TEXT(G5,"ddd")</f>
        <v/>
      </c>
      <c r="H4" s="7">
        <f>TEXT(H5,"ddd")</f>
        <v/>
      </c>
      <c r="I4" s="7">
        <f>TEXT(I5,"ddd")</f>
        <v/>
      </c>
      <c r="J4" s="7" t="inlineStr">
        <is>
          <t>Avg/day</t>
        </is>
      </c>
      <c r="K4" s="7" t="inlineStr">
        <is>
          <t>Target</t>
        </is>
      </c>
      <c r="L4" s="7" t="inlineStr">
        <is>
          <t>Status</t>
        </is>
      </c>
      <c r="M4" s="7" t="inlineStr">
        <is>
          <t>Source</t>
        </is>
      </c>
      <c r="N4" s="7" t="inlineStr">
        <is>
          <t>Notes</t>
        </is>
      </c>
    </row>
    <row r="5">
      <c r="C5" s="8">
        <f>$C$3+0</f>
        <v/>
      </c>
      <c r="D5" s="8">
        <f>$C$3+1</f>
        <v/>
      </c>
      <c r="E5" s="8">
        <f>$C$3+2</f>
        <v/>
      </c>
      <c r="F5" s="8">
        <f>$C$3+3</f>
        <v/>
      </c>
      <c r="G5" s="8">
        <f>$C$3+4</f>
        <v/>
      </c>
      <c r="H5" s="8">
        <f>$C$3+5</f>
        <v/>
      </c>
      <c r="I5" s="8">
        <f>$C$3+6</f>
        <v/>
      </c>
    </row>
    <row r="6">
      <c r="A6" s="9" t="inlineStr">
        <is>
          <t>SPEND</t>
        </is>
      </c>
    </row>
    <row r="7">
      <c r="B7" s="10" t="inlineStr">
        <is>
          <t>Ad Spend — Meta</t>
        </is>
      </c>
      <c r="C7" s="11">
        <f>SUMIFS('Daily Log'!$C:$C,'Daily Log'!$A:$A,C$5,'Daily Log'!$B:$B,IF($F$3="All","*",$F$3))</f>
        <v/>
      </c>
      <c r="D7" s="11">
        <f>SUMIFS('Daily Log'!$C:$C,'Daily Log'!$A:$A,D$5,'Daily Log'!$B:$B,IF($F$3="All","*",$F$3))</f>
        <v/>
      </c>
      <c r="E7" s="11">
        <f>SUMIFS('Daily Log'!$C:$C,'Daily Log'!$A:$A,E$5,'Daily Log'!$B:$B,IF($F$3="All","*",$F$3))</f>
        <v/>
      </c>
      <c r="F7" s="11">
        <f>SUMIFS('Daily Log'!$C:$C,'Daily Log'!$A:$A,F$5,'Daily Log'!$B:$B,IF($F$3="All","*",$F$3))</f>
        <v/>
      </c>
      <c r="G7" s="11">
        <f>SUMIFS('Daily Log'!$C:$C,'Daily Log'!$A:$A,G$5,'Daily Log'!$B:$B,IF($F$3="All","*",$F$3))</f>
        <v/>
      </c>
      <c r="H7" s="11">
        <f>SUMIFS('Daily Log'!$C:$C,'Daily Log'!$A:$A,H$5,'Daily Log'!$B:$B,IF($F$3="All","*",$F$3))</f>
        <v/>
      </c>
      <c r="I7" s="11">
        <f>SUMIFS('Daily Log'!$C:$C,'Daily Log'!$A:$A,I$5,'Daily Log'!$B:$B,IF($F$3="All","*",$F$3))</f>
        <v/>
      </c>
      <c r="J7" s="12">
        <f>IFERROR(AVERAGE(C7:I7),"")</f>
        <v/>
      </c>
      <c r="K7" s="13" t="inlineStr"/>
      <c r="L7" s="14" t="inlineStr"/>
      <c r="M7" s="15" t="inlineStr">
        <is>
          <t>Meta API</t>
        </is>
      </c>
      <c r="N7" s="16" t="inlineStr">
        <is>
          <t>auto</t>
        </is>
      </c>
    </row>
    <row r="8">
      <c r="B8" s="10" t="inlineStr">
        <is>
          <t>Ad Spend — OnlyFinder</t>
        </is>
      </c>
      <c r="C8" s="11">
        <f>SUMIFS('Daily Log'!$D:$D,'Daily Log'!$A:$A,C$5,'Daily Log'!$B:$B,IF($F$3="All","*",$F$3))</f>
        <v/>
      </c>
      <c r="D8" s="11">
        <f>SUMIFS('Daily Log'!$D:$D,'Daily Log'!$A:$A,D$5,'Daily Log'!$B:$B,IF($F$3="All","*",$F$3))</f>
        <v/>
      </c>
      <c r="E8" s="11">
        <f>SUMIFS('Daily Log'!$D:$D,'Daily Log'!$A:$A,E$5,'Daily Log'!$B:$B,IF($F$3="All","*",$F$3))</f>
        <v/>
      </c>
      <c r="F8" s="11">
        <f>SUMIFS('Daily Log'!$D:$D,'Daily Log'!$A:$A,F$5,'Daily Log'!$B:$B,IF($F$3="All","*",$F$3))</f>
        <v/>
      </c>
      <c r="G8" s="11">
        <f>SUMIFS('Daily Log'!$D:$D,'Daily Log'!$A:$A,G$5,'Daily Log'!$B:$B,IF($F$3="All","*",$F$3))</f>
        <v/>
      </c>
      <c r="H8" s="11">
        <f>SUMIFS('Daily Log'!$D:$D,'Daily Log'!$A:$A,H$5,'Daily Log'!$B:$B,IF($F$3="All","*",$F$3))</f>
        <v/>
      </c>
      <c r="I8" s="11">
        <f>SUMIFS('Daily Log'!$D:$D,'Daily Log'!$A:$A,I$5,'Daily Log'!$B:$B,IF($F$3="All","*",$F$3))</f>
        <v/>
      </c>
      <c r="J8" s="12">
        <f>IFERROR(AVERAGE(C8:I8),"")</f>
        <v/>
      </c>
      <c r="K8" s="13" t="inlineStr"/>
      <c r="L8" s="14" t="inlineStr"/>
      <c r="M8" s="15" t="inlineStr">
        <is>
          <t>Manual</t>
        </is>
      </c>
      <c r="N8" s="16" t="inlineStr">
        <is>
          <t>type in Daily Log</t>
        </is>
      </c>
    </row>
    <row r="9">
      <c r="B9" s="10" t="inlineStr">
        <is>
          <t>Ad Spend — OnlyGuider</t>
        </is>
      </c>
      <c r="C9" s="11">
        <f>SUMIFS('Daily Log'!$E:$E,'Daily Log'!$A:$A,C$5,'Daily Log'!$B:$B,IF($F$3="All","*",$F$3))</f>
        <v/>
      </c>
      <c r="D9" s="11">
        <f>SUMIFS('Daily Log'!$E:$E,'Daily Log'!$A:$A,D$5,'Daily Log'!$B:$B,IF($F$3="All","*",$F$3))</f>
        <v/>
      </c>
      <c r="E9" s="11">
        <f>SUMIFS('Daily Log'!$E:$E,'Daily Log'!$A:$A,E$5,'Daily Log'!$B:$B,IF($F$3="All","*",$F$3))</f>
        <v/>
      </c>
      <c r="F9" s="11">
        <f>SUMIFS('Daily Log'!$E:$E,'Daily Log'!$A:$A,F$5,'Daily Log'!$B:$B,IF($F$3="All","*",$F$3))</f>
        <v/>
      </c>
      <c r="G9" s="11">
        <f>SUMIFS('Daily Log'!$E:$E,'Daily Log'!$A:$A,G$5,'Daily Log'!$B:$B,IF($F$3="All","*",$F$3))</f>
        <v/>
      </c>
      <c r="H9" s="11">
        <f>SUMIFS('Daily Log'!$E:$E,'Daily Log'!$A:$A,H$5,'Daily Log'!$B:$B,IF($F$3="All","*",$F$3))</f>
        <v/>
      </c>
      <c r="I9" s="11">
        <f>SUMIFS('Daily Log'!$E:$E,'Daily Log'!$A:$A,I$5,'Daily Log'!$B:$B,IF($F$3="All","*",$F$3))</f>
        <v/>
      </c>
      <c r="J9" s="12">
        <f>IFERROR(AVERAGE(C9:I9),"")</f>
        <v/>
      </c>
      <c r="K9" s="13" t="inlineStr"/>
      <c r="L9" s="14" t="inlineStr"/>
      <c r="M9" s="15" t="inlineStr">
        <is>
          <t>Manual</t>
        </is>
      </c>
      <c r="N9" s="16" t="inlineStr">
        <is>
          <t>type in Daily Log</t>
        </is>
      </c>
    </row>
    <row r="10">
      <c r="B10" s="10" t="inlineStr">
        <is>
          <t>Ad Spend — OnlySeeker</t>
        </is>
      </c>
      <c r="C10" s="11">
        <f>SUMIFS('Daily Log'!$F:$F,'Daily Log'!$A:$A,C$5,'Daily Log'!$B:$B,IF($F$3="All","*",$F$3))</f>
        <v/>
      </c>
      <c r="D10" s="11">
        <f>SUMIFS('Daily Log'!$F:$F,'Daily Log'!$A:$A,D$5,'Daily Log'!$B:$B,IF($F$3="All","*",$F$3))</f>
        <v/>
      </c>
      <c r="E10" s="11">
        <f>SUMIFS('Daily Log'!$F:$F,'Daily Log'!$A:$A,E$5,'Daily Log'!$B:$B,IF($F$3="All","*",$F$3))</f>
        <v/>
      </c>
      <c r="F10" s="11">
        <f>SUMIFS('Daily Log'!$F:$F,'Daily Log'!$A:$A,F$5,'Daily Log'!$B:$B,IF($F$3="All","*",$F$3))</f>
        <v/>
      </c>
      <c r="G10" s="11">
        <f>SUMIFS('Daily Log'!$F:$F,'Daily Log'!$A:$A,G$5,'Daily Log'!$B:$B,IF($F$3="All","*",$F$3))</f>
        <v/>
      </c>
      <c r="H10" s="11">
        <f>SUMIFS('Daily Log'!$F:$F,'Daily Log'!$A:$A,H$5,'Daily Log'!$B:$B,IF($F$3="All","*",$F$3))</f>
        <v/>
      </c>
      <c r="I10" s="11">
        <f>SUMIFS('Daily Log'!$F:$F,'Daily Log'!$A:$A,I$5,'Daily Log'!$B:$B,IF($F$3="All","*",$F$3))</f>
        <v/>
      </c>
      <c r="J10" s="12">
        <f>IFERROR(AVERAGE(C10:I10),"")</f>
        <v/>
      </c>
      <c r="K10" s="13" t="inlineStr"/>
      <c r="L10" s="14" t="inlineStr"/>
      <c r="M10" s="15" t="inlineStr">
        <is>
          <t>Manual</t>
        </is>
      </c>
      <c r="N10" s="16" t="inlineStr">
        <is>
          <t>type in Daily Log</t>
        </is>
      </c>
    </row>
    <row r="11">
      <c r="B11" s="17" t="inlineStr">
        <is>
          <t>Total Ad Spend</t>
        </is>
      </c>
      <c r="C11" s="12">
        <f>SUM(C7:C10)</f>
        <v/>
      </c>
      <c r="D11" s="12">
        <f>SUM(D7:D10)</f>
        <v/>
      </c>
      <c r="E11" s="12">
        <f>SUM(E7:E10)</f>
        <v/>
      </c>
      <c r="F11" s="12">
        <f>SUM(F7:F10)</f>
        <v/>
      </c>
      <c r="G11" s="12">
        <f>SUM(G7:G10)</f>
        <v/>
      </c>
      <c r="H11" s="12">
        <f>SUM(H7:H10)</f>
        <v/>
      </c>
      <c r="I11" s="12">
        <f>SUM(I7:I10)</f>
        <v/>
      </c>
      <c r="J11" s="12">
        <f>IFERROR(AVERAGE(C11:I11),"")</f>
        <v/>
      </c>
      <c r="K11" s="13" t="inlineStr"/>
      <c r="L11" s="14" t="inlineStr"/>
      <c r="M11" s="15" t="inlineStr">
        <is>
          <t>Formula</t>
        </is>
      </c>
      <c r="N11" s="16" t="inlineStr"/>
    </row>
    <row r="12">
      <c r="A12" s="9" t="inlineStr">
        <is>
          <t>TRAFFIC</t>
        </is>
      </c>
    </row>
    <row r="13">
      <c r="B13" s="10" t="inlineStr">
        <is>
          <t>Clicks — Meta</t>
        </is>
      </c>
      <c r="C13" s="18">
        <f>SUMIFS('Daily Log'!$G:$G,'Daily Log'!$A:$A,C$5,'Daily Log'!$B:$B,IF($F$3="All","*",$F$3))</f>
        <v/>
      </c>
      <c r="D13" s="18">
        <f>SUMIFS('Daily Log'!$G:$G,'Daily Log'!$A:$A,D$5,'Daily Log'!$B:$B,IF($F$3="All","*",$F$3))</f>
        <v/>
      </c>
      <c r="E13" s="18">
        <f>SUMIFS('Daily Log'!$G:$G,'Daily Log'!$A:$A,E$5,'Daily Log'!$B:$B,IF($F$3="All","*",$F$3))</f>
        <v/>
      </c>
      <c r="F13" s="18">
        <f>SUMIFS('Daily Log'!$G:$G,'Daily Log'!$A:$A,F$5,'Daily Log'!$B:$B,IF($F$3="All","*",$F$3))</f>
        <v/>
      </c>
      <c r="G13" s="18">
        <f>SUMIFS('Daily Log'!$G:$G,'Daily Log'!$A:$A,G$5,'Daily Log'!$B:$B,IF($F$3="All","*",$F$3))</f>
        <v/>
      </c>
      <c r="H13" s="18">
        <f>SUMIFS('Daily Log'!$G:$G,'Daily Log'!$A:$A,H$5,'Daily Log'!$B:$B,IF($F$3="All","*",$F$3))</f>
        <v/>
      </c>
      <c r="I13" s="18">
        <f>SUMIFS('Daily Log'!$G:$G,'Daily Log'!$A:$A,I$5,'Daily Log'!$B:$B,IF($F$3="All","*",$F$3))</f>
        <v/>
      </c>
      <c r="J13" s="19">
        <f>IFERROR(AVERAGE(C13:I13),"")</f>
        <v/>
      </c>
      <c r="K13" s="13" t="inlineStr"/>
      <c r="L13" s="14" t="inlineStr"/>
      <c r="M13" s="15" t="inlineStr">
        <is>
          <t>OnlyFans API</t>
        </is>
      </c>
      <c r="N13" s="16" t="inlineStr"/>
    </row>
    <row r="14">
      <c r="B14" s="10" t="inlineStr">
        <is>
          <t>Clicks — OnlyFinder</t>
        </is>
      </c>
      <c r="C14" s="18">
        <f>SUMIFS('Daily Log'!$H:$H,'Daily Log'!$A:$A,C$5,'Daily Log'!$B:$B,IF($F$3="All","*",$F$3))</f>
        <v/>
      </c>
      <c r="D14" s="18">
        <f>SUMIFS('Daily Log'!$H:$H,'Daily Log'!$A:$A,D$5,'Daily Log'!$B:$B,IF($F$3="All","*",$F$3))</f>
        <v/>
      </c>
      <c r="E14" s="18">
        <f>SUMIFS('Daily Log'!$H:$H,'Daily Log'!$A:$A,E$5,'Daily Log'!$B:$B,IF($F$3="All","*",$F$3))</f>
        <v/>
      </c>
      <c r="F14" s="18">
        <f>SUMIFS('Daily Log'!$H:$H,'Daily Log'!$A:$A,F$5,'Daily Log'!$B:$B,IF($F$3="All","*",$F$3))</f>
        <v/>
      </c>
      <c r="G14" s="18">
        <f>SUMIFS('Daily Log'!$H:$H,'Daily Log'!$A:$A,G$5,'Daily Log'!$B:$B,IF($F$3="All","*",$F$3))</f>
        <v/>
      </c>
      <c r="H14" s="18">
        <f>SUMIFS('Daily Log'!$H:$H,'Daily Log'!$A:$A,H$5,'Daily Log'!$B:$B,IF($F$3="All","*",$F$3))</f>
        <v/>
      </c>
      <c r="I14" s="18">
        <f>SUMIFS('Daily Log'!$H:$H,'Daily Log'!$A:$A,I$5,'Daily Log'!$B:$B,IF($F$3="All","*",$F$3))</f>
        <v/>
      </c>
      <c r="J14" s="19">
        <f>IFERROR(AVERAGE(C14:I14),"")</f>
        <v/>
      </c>
      <c r="K14" s="13" t="inlineStr"/>
      <c r="L14" s="14" t="inlineStr"/>
      <c r="M14" s="15" t="inlineStr">
        <is>
          <t>OnlyFans API</t>
        </is>
      </c>
      <c r="N14" s="16" t="inlineStr"/>
    </row>
    <row r="15">
      <c r="B15" s="10" t="inlineStr">
        <is>
          <t>Clicks — OnlyGuider</t>
        </is>
      </c>
      <c r="C15" s="18">
        <f>SUMIFS('Daily Log'!$I:$I,'Daily Log'!$A:$A,C$5,'Daily Log'!$B:$B,IF($F$3="All","*",$F$3))</f>
        <v/>
      </c>
      <c r="D15" s="18">
        <f>SUMIFS('Daily Log'!$I:$I,'Daily Log'!$A:$A,D$5,'Daily Log'!$B:$B,IF($F$3="All","*",$F$3))</f>
        <v/>
      </c>
      <c r="E15" s="18">
        <f>SUMIFS('Daily Log'!$I:$I,'Daily Log'!$A:$A,E$5,'Daily Log'!$B:$B,IF($F$3="All","*",$F$3))</f>
        <v/>
      </c>
      <c r="F15" s="18">
        <f>SUMIFS('Daily Log'!$I:$I,'Daily Log'!$A:$A,F$5,'Daily Log'!$B:$B,IF($F$3="All","*",$F$3))</f>
        <v/>
      </c>
      <c r="G15" s="18">
        <f>SUMIFS('Daily Log'!$I:$I,'Daily Log'!$A:$A,G$5,'Daily Log'!$B:$B,IF($F$3="All","*",$F$3))</f>
        <v/>
      </c>
      <c r="H15" s="18">
        <f>SUMIFS('Daily Log'!$I:$I,'Daily Log'!$A:$A,H$5,'Daily Log'!$B:$B,IF($F$3="All","*",$F$3))</f>
        <v/>
      </c>
      <c r="I15" s="18">
        <f>SUMIFS('Daily Log'!$I:$I,'Daily Log'!$A:$A,I$5,'Daily Log'!$B:$B,IF($F$3="All","*",$F$3))</f>
        <v/>
      </c>
      <c r="J15" s="19">
        <f>IFERROR(AVERAGE(C15:I15),"")</f>
        <v/>
      </c>
      <c r="K15" s="13" t="inlineStr"/>
      <c r="L15" s="14" t="inlineStr"/>
      <c r="M15" s="15" t="inlineStr">
        <is>
          <t>OnlyFans API</t>
        </is>
      </c>
      <c r="N15" s="16" t="inlineStr"/>
    </row>
    <row r="16">
      <c r="B16" s="10" t="inlineStr">
        <is>
          <t>Clicks — OnlySeeker</t>
        </is>
      </c>
      <c r="C16" s="18">
        <f>SUMIFS('Daily Log'!$J:$J,'Daily Log'!$A:$A,C$5,'Daily Log'!$B:$B,IF($F$3="All","*",$F$3))</f>
        <v/>
      </c>
      <c r="D16" s="18">
        <f>SUMIFS('Daily Log'!$J:$J,'Daily Log'!$A:$A,D$5,'Daily Log'!$B:$B,IF($F$3="All","*",$F$3))</f>
        <v/>
      </c>
      <c r="E16" s="18">
        <f>SUMIFS('Daily Log'!$J:$J,'Daily Log'!$A:$A,E$5,'Daily Log'!$B:$B,IF($F$3="All","*",$F$3))</f>
        <v/>
      </c>
      <c r="F16" s="18">
        <f>SUMIFS('Daily Log'!$J:$J,'Daily Log'!$A:$A,F$5,'Daily Log'!$B:$B,IF($F$3="All","*",$F$3))</f>
        <v/>
      </c>
      <c r="G16" s="18">
        <f>SUMIFS('Daily Log'!$J:$J,'Daily Log'!$A:$A,G$5,'Daily Log'!$B:$B,IF($F$3="All","*",$F$3))</f>
        <v/>
      </c>
      <c r="H16" s="18">
        <f>SUMIFS('Daily Log'!$J:$J,'Daily Log'!$A:$A,H$5,'Daily Log'!$B:$B,IF($F$3="All","*",$F$3))</f>
        <v/>
      </c>
      <c r="I16" s="18">
        <f>SUMIFS('Daily Log'!$J:$J,'Daily Log'!$A:$A,I$5,'Daily Log'!$B:$B,IF($F$3="All","*",$F$3))</f>
        <v/>
      </c>
      <c r="J16" s="19">
        <f>IFERROR(AVERAGE(C16:I16),"")</f>
        <v/>
      </c>
      <c r="K16" s="13" t="inlineStr"/>
      <c r="L16" s="14" t="inlineStr"/>
      <c r="M16" s="15" t="inlineStr">
        <is>
          <t>OnlyFans API</t>
        </is>
      </c>
      <c r="N16" s="16" t="inlineStr"/>
    </row>
    <row r="17">
      <c r="B17" s="17" t="inlineStr">
        <is>
          <t>Total Clicks</t>
        </is>
      </c>
      <c r="C17" s="19">
        <f>SUM(C13:C16)</f>
        <v/>
      </c>
      <c r="D17" s="19">
        <f>SUM(D13:D16)</f>
        <v/>
      </c>
      <c r="E17" s="19">
        <f>SUM(E13:E16)</f>
        <v/>
      </c>
      <c r="F17" s="19">
        <f>SUM(F13:F16)</f>
        <v/>
      </c>
      <c r="G17" s="19">
        <f>SUM(G13:G16)</f>
        <v/>
      </c>
      <c r="H17" s="19">
        <f>SUM(H13:H16)</f>
        <v/>
      </c>
      <c r="I17" s="19">
        <f>SUM(I13:I16)</f>
        <v/>
      </c>
      <c r="J17" s="19">
        <f>IFERROR(AVERAGE(C17:I17),"")</f>
        <v/>
      </c>
      <c r="K17" s="13" t="inlineStr"/>
      <c r="L17" s="14" t="inlineStr"/>
      <c r="M17" s="15" t="inlineStr">
        <is>
          <t>Formula</t>
        </is>
      </c>
      <c r="N17" s="16" t="inlineStr"/>
    </row>
    <row r="18">
      <c r="B18" s="10" t="inlineStr">
        <is>
          <t>CPC — Meta</t>
        </is>
      </c>
      <c r="C18" s="12">
        <f>IFERROR(C7/C13,"")</f>
        <v/>
      </c>
      <c r="D18" s="12">
        <f>IFERROR(D7/D13,"")</f>
        <v/>
      </c>
      <c r="E18" s="12">
        <f>IFERROR(E7/E13,"")</f>
        <v/>
      </c>
      <c r="F18" s="12">
        <f>IFERROR(F7/F13,"")</f>
        <v/>
      </c>
      <c r="G18" s="12">
        <f>IFERROR(G7/G13,"")</f>
        <v/>
      </c>
      <c r="H18" s="12">
        <f>IFERROR(H7/H13,"")</f>
        <v/>
      </c>
      <c r="I18" s="12">
        <f>IFERROR(I7/I13,"")</f>
        <v/>
      </c>
      <c r="J18" s="12">
        <f>IFERROR(AVERAGE(C18:I18),"")</f>
        <v/>
      </c>
      <c r="K18" s="20" t="n">
        <v>0.7</v>
      </c>
      <c r="L18" s="14">
        <f>IF(N(J18)=0,"",IF(J18&lt;=K18,"✅","⚠️"))</f>
        <v/>
      </c>
      <c r="M18" s="15" t="inlineStr">
        <is>
          <t>Formula</t>
        </is>
      </c>
      <c r="N18" s="16" t="inlineStr">
        <is>
          <t>≤ $0.70</t>
        </is>
      </c>
    </row>
    <row r="19">
      <c r="B19" s="10" t="inlineStr">
        <is>
          <t>CPC — OnlyFinder</t>
        </is>
      </c>
      <c r="C19" s="12">
        <f>IFERROR(C8/C14,"")</f>
        <v/>
      </c>
      <c r="D19" s="12">
        <f>IFERROR(D8/D14,"")</f>
        <v/>
      </c>
      <c r="E19" s="12">
        <f>IFERROR(E8/E14,"")</f>
        <v/>
      </c>
      <c r="F19" s="12">
        <f>IFERROR(F8/F14,"")</f>
        <v/>
      </c>
      <c r="G19" s="12">
        <f>IFERROR(G8/G14,"")</f>
        <v/>
      </c>
      <c r="H19" s="12">
        <f>IFERROR(H8/H14,"")</f>
        <v/>
      </c>
      <c r="I19" s="12">
        <f>IFERROR(I8/I14,"")</f>
        <v/>
      </c>
      <c r="J19" s="12">
        <f>IFERROR(AVERAGE(C19:I19),"")</f>
        <v/>
      </c>
      <c r="K19" s="20" t="n">
        <v>0.7</v>
      </c>
      <c r="L19" s="14">
        <f>IF(N(J19)=0,"",IF(J19&lt;=K19,"✅","⚠️"))</f>
        <v/>
      </c>
      <c r="M19" s="15" t="inlineStr">
        <is>
          <t>Formula</t>
        </is>
      </c>
      <c r="N19" s="16" t="inlineStr">
        <is>
          <t>≤ $0.70</t>
        </is>
      </c>
    </row>
    <row r="20">
      <c r="B20" s="10" t="inlineStr">
        <is>
          <t>Blended CPC</t>
        </is>
      </c>
      <c r="C20" s="12">
        <f>IFERROR(C11/C17,"")</f>
        <v/>
      </c>
      <c r="D20" s="12">
        <f>IFERROR(D11/D17,"")</f>
        <v/>
      </c>
      <c r="E20" s="12">
        <f>IFERROR(E11/E17,"")</f>
        <v/>
      </c>
      <c r="F20" s="12">
        <f>IFERROR(F11/F17,"")</f>
        <v/>
      </c>
      <c r="G20" s="12">
        <f>IFERROR(G11/G17,"")</f>
        <v/>
      </c>
      <c r="H20" s="12">
        <f>IFERROR(H11/H17,"")</f>
        <v/>
      </c>
      <c r="I20" s="12">
        <f>IFERROR(I11/I17,"")</f>
        <v/>
      </c>
      <c r="J20" s="12">
        <f>IFERROR(AVERAGE(C20:I20),"")</f>
        <v/>
      </c>
      <c r="K20" s="20" t="n">
        <v>0.7</v>
      </c>
      <c r="L20" s="14">
        <f>IF(N(J20)=0,"",IF(J20&lt;=K20,"✅","⚠️"))</f>
        <v/>
      </c>
      <c r="M20" s="15" t="inlineStr">
        <is>
          <t>Formula</t>
        </is>
      </c>
      <c r="N20" s="16" t="inlineStr"/>
    </row>
    <row r="21">
      <c r="A21" s="9" t="inlineStr">
        <is>
          <t>FANS (CONVERSIONS)</t>
        </is>
      </c>
    </row>
    <row r="22">
      <c r="B22" s="10" t="inlineStr">
        <is>
          <t>New Fans — Meta</t>
        </is>
      </c>
      <c r="C22" s="18">
        <f>SUMIFS('Daily Log'!$K:$K,'Daily Log'!$A:$A,C$5,'Daily Log'!$B:$B,IF($F$3="All","*",$F$3))</f>
        <v/>
      </c>
      <c r="D22" s="18">
        <f>SUMIFS('Daily Log'!$K:$K,'Daily Log'!$A:$A,D$5,'Daily Log'!$B:$B,IF($F$3="All","*",$F$3))</f>
        <v/>
      </c>
      <c r="E22" s="18">
        <f>SUMIFS('Daily Log'!$K:$K,'Daily Log'!$A:$A,E$5,'Daily Log'!$B:$B,IF($F$3="All","*",$F$3))</f>
        <v/>
      </c>
      <c r="F22" s="18">
        <f>SUMIFS('Daily Log'!$K:$K,'Daily Log'!$A:$A,F$5,'Daily Log'!$B:$B,IF($F$3="All","*",$F$3))</f>
        <v/>
      </c>
      <c r="G22" s="18">
        <f>SUMIFS('Daily Log'!$K:$K,'Daily Log'!$A:$A,G$5,'Daily Log'!$B:$B,IF($F$3="All","*",$F$3))</f>
        <v/>
      </c>
      <c r="H22" s="18">
        <f>SUMIFS('Daily Log'!$K:$K,'Daily Log'!$A:$A,H$5,'Daily Log'!$B:$B,IF($F$3="All","*",$F$3))</f>
        <v/>
      </c>
      <c r="I22" s="18">
        <f>SUMIFS('Daily Log'!$K:$K,'Daily Log'!$A:$A,I$5,'Daily Log'!$B:$B,IF($F$3="All","*",$F$3))</f>
        <v/>
      </c>
      <c r="J22" s="19">
        <f>IFERROR(AVERAGE(C22:I22),"")</f>
        <v/>
      </c>
      <c r="K22" s="13" t="inlineStr"/>
      <c r="L22" s="14" t="inlineStr"/>
      <c r="M22" s="15" t="inlineStr">
        <is>
          <t>OnlyFans API</t>
        </is>
      </c>
      <c r="N22" s="16" t="inlineStr">
        <is>
          <t>links tagged Meta</t>
        </is>
      </c>
    </row>
    <row r="23">
      <c r="B23" s="10" t="inlineStr">
        <is>
          <t>New Fans — OnlyFinder</t>
        </is>
      </c>
      <c r="C23" s="18">
        <f>SUMIFS('Daily Log'!$L:$L,'Daily Log'!$A:$A,C$5,'Daily Log'!$B:$B,IF($F$3="All","*",$F$3))</f>
        <v/>
      </c>
      <c r="D23" s="18">
        <f>SUMIFS('Daily Log'!$L:$L,'Daily Log'!$A:$A,D$5,'Daily Log'!$B:$B,IF($F$3="All","*",$F$3))</f>
        <v/>
      </c>
      <c r="E23" s="18">
        <f>SUMIFS('Daily Log'!$L:$L,'Daily Log'!$A:$A,E$5,'Daily Log'!$B:$B,IF($F$3="All","*",$F$3))</f>
        <v/>
      </c>
      <c r="F23" s="18">
        <f>SUMIFS('Daily Log'!$L:$L,'Daily Log'!$A:$A,F$5,'Daily Log'!$B:$B,IF($F$3="All","*",$F$3))</f>
        <v/>
      </c>
      <c r="G23" s="18">
        <f>SUMIFS('Daily Log'!$L:$L,'Daily Log'!$A:$A,G$5,'Daily Log'!$B:$B,IF($F$3="All","*",$F$3))</f>
        <v/>
      </c>
      <c r="H23" s="18">
        <f>SUMIFS('Daily Log'!$L:$L,'Daily Log'!$A:$A,H$5,'Daily Log'!$B:$B,IF($F$3="All","*",$F$3))</f>
        <v/>
      </c>
      <c r="I23" s="18">
        <f>SUMIFS('Daily Log'!$L:$L,'Daily Log'!$A:$A,I$5,'Daily Log'!$B:$B,IF($F$3="All","*",$F$3))</f>
        <v/>
      </c>
      <c r="J23" s="19">
        <f>IFERROR(AVERAGE(C23:I23),"")</f>
        <v/>
      </c>
      <c r="K23" s="13" t="inlineStr"/>
      <c r="L23" s="14" t="inlineStr"/>
      <c r="M23" s="15" t="inlineStr">
        <is>
          <t>OnlyFans API</t>
        </is>
      </c>
      <c r="N23" s="16" t="inlineStr"/>
    </row>
    <row r="24">
      <c r="B24" s="10" t="inlineStr">
        <is>
          <t>New Fans — OnlyGuider</t>
        </is>
      </c>
      <c r="C24" s="18">
        <f>SUMIFS('Daily Log'!$M:$M,'Daily Log'!$A:$A,C$5,'Daily Log'!$B:$B,IF($F$3="All","*",$F$3))</f>
        <v/>
      </c>
      <c r="D24" s="18">
        <f>SUMIFS('Daily Log'!$M:$M,'Daily Log'!$A:$A,D$5,'Daily Log'!$B:$B,IF($F$3="All","*",$F$3))</f>
        <v/>
      </c>
      <c r="E24" s="18">
        <f>SUMIFS('Daily Log'!$M:$M,'Daily Log'!$A:$A,E$5,'Daily Log'!$B:$B,IF($F$3="All","*",$F$3))</f>
        <v/>
      </c>
      <c r="F24" s="18">
        <f>SUMIFS('Daily Log'!$M:$M,'Daily Log'!$A:$A,F$5,'Daily Log'!$B:$B,IF($F$3="All","*",$F$3))</f>
        <v/>
      </c>
      <c r="G24" s="18">
        <f>SUMIFS('Daily Log'!$M:$M,'Daily Log'!$A:$A,G$5,'Daily Log'!$B:$B,IF($F$3="All","*",$F$3))</f>
        <v/>
      </c>
      <c r="H24" s="18">
        <f>SUMIFS('Daily Log'!$M:$M,'Daily Log'!$A:$A,H$5,'Daily Log'!$B:$B,IF($F$3="All","*",$F$3))</f>
        <v/>
      </c>
      <c r="I24" s="18">
        <f>SUMIFS('Daily Log'!$M:$M,'Daily Log'!$A:$A,I$5,'Daily Log'!$B:$B,IF($F$3="All","*",$F$3))</f>
        <v/>
      </c>
      <c r="J24" s="19">
        <f>IFERROR(AVERAGE(C24:I24),"")</f>
        <v/>
      </c>
      <c r="K24" s="13" t="inlineStr"/>
      <c r="L24" s="14" t="inlineStr"/>
      <c r="M24" s="15" t="inlineStr">
        <is>
          <t>OnlyFans API</t>
        </is>
      </c>
      <c r="N24" s="16" t="inlineStr"/>
    </row>
    <row r="25">
      <c r="B25" s="10" t="inlineStr">
        <is>
          <t>New Fans — OnlySeeker</t>
        </is>
      </c>
      <c r="C25" s="18">
        <f>SUMIFS('Daily Log'!$N:$N,'Daily Log'!$A:$A,C$5,'Daily Log'!$B:$B,IF($F$3="All","*",$F$3))</f>
        <v/>
      </c>
      <c r="D25" s="18">
        <f>SUMIFS('Daily Log'!$N:$N,'Daily Log'!$A:$A,D$5,'Daily Log'!$B:$B,IF($F$3="All","*",$F$3))</f>
        <v/>
      </c>
      <c r="E25" s="18">
        <f>SUMIFS('Daily Log'!$N:$N,'Daily Log'!$A:$A,E$5,'Daily Log'!$B:$B,IF($F$3="All","*",$F$3))</f>
        <v/>
      </c>
      <c r="F25" s="18">
        <f>SUMIFS('Daily Log'!$N:$N,'Daily Log'!$A:$A,F$5,'Daily Log'!$B:$B,IF($F$3="All","*",$F$3))</f>
        <v/>
      </c>
      <c r="G25" s="18">
        <f>SUMIFS('Daily Log'!$N:$N,'Daily Log'!$A:$A,G$5,'Daily Log'!$B:$B,IF($F$3="All","*",$F$3))</f>
        <v/>
      </c>
      <c r="H25" s="18">
        <f>SUMIFS('Daily Log'!$N:$N,'Daily Log'!$A:$A,H$5,'Daily Log'!$B:$B,IF($F$3="All","*",$F$3))</f>
        <v/>
      </c>
      <c r="I25" s="18">
        <f>SUMIFS('Daily Log'!$N:$N,'Daily Log'!$A:$A,I$5,'Daily Log'!$B:$B,IF($F$3="All","*",$F$3))</f>
        <v/>
      </c>
      <c r="J25" s="19">
        <f>IFERROR(AVERAGE(C25:I25),"")</f>
        <v/>
      </c>
      <c r="K25" s="13" t="inlineStr"/>
      <c r="L25" s="14" t="inlineStr"/>
      <c r="M25" s="15" t="inlineStr">
        <is>
          <t>OnlyFans API</t>
        </is>
      </c>
      <c r="N25" s="16" t="inlineStr"/>
    </row>
    <row r="26">
      <c r="B26" s="17" t="inlineStr">
        <is>
          <t>Total New Fans</t>
        </is>
      </c>
      <c r="C26" s="19">
        <f>SUM(C22:C25)</f>
        <v/>
      </c>
      <c r="D26" s="19">
        <f>SUM(D22:D25)</f>
        <v/>
      </c>
      <c r="E26" s="19">
        <f>SUM(E22:E25)</f>
        <v/>
      </c>
      <c r="F26" s="19">
        <f>SUM(F22:F25)</f>
        <v/>
      </c>
      <c r="G26" s="19">
        <f>SUM(G22:G25)</f>
        <v/>
      </c>
      <c r="H26" s="19">
        <f>SUM(H22:H25)</f>
        <v/>
      </c>
      <c r="I26" s="19">
        <f>SUM(I22:I25)</f>
        <v/>
      </c>
      <c r="J26" s="19">
        <f>IFERROR(AVERAGE(C26:I26),"")</f>
        <v/>
      </c>
      <c r="K26" s="13" t="inlineStr"/>
      <c r="L26" s="14" t="inlineStr"/>
      <c r="M26" s="15" t="inlineStr">
        <is>
          <t>Formula</t>
        </is>
      </c>
      <c r="N26" s="16" t="inlineStr"/>
    </row>
    <row r="27">
      <c r="B27" s="10" t="inlineStr">
        <is>
          <t>Subscription CVR — Meta</t>
        </is>
      </c>
      <c r="C27" s="21">
        <f>IFERROR(C22/C13,"")</f>
        <v/>
      </c>
      <c r="D27" s="21">
        <f>IFERROR(D22/D13,"")</f>
        <v/>
      </c>
      <c r="E27" s="21">
        <f>IFERROR(E22/E13,"")</f>
        <v/>
      </c>
      <c r="F27" s="21">
        <f>IFERROR(F22/F13,"")</f>
        <v/>
      </c>
      <c r="G27" s="21">
        <f>IFERROR(G22/G13,"")</f>
        <v/>
      </c>
      <c r="H27" s="21">
        <f>IFERROR(H22/H13,"")</f>
        <v/>
      </c>
      <c r="I27" s="21">
        <f>IFERROR(I22/I13,"")</f>
        <v/>
      </c>
      <c r="J27" s="21">
        <f>IFERROR(AVERAGE(C27:I27),"")</f>
        <v/>
      </c>
      <c r="K27" s="22" t="n">
        <v>0.25</v>
      </c>
      <c r="L27" s="14">
        <f>IF(N(J27)=0,"",IF(J27&gt;=K27,"✅","⚠️"))</f>
        <v/>
      </c>
      <c r="M27" s="15" t="inlineStr">
        <is>
          <t>Formula</t>
        </is>
      </c>
      <c r="N27" s="16" t="inlineStr">
        <is>
          <t>≥ 25% else split-test</t>
        </is>
      </c>
    </row>
    <row r="28">
      <c r="B28" s="10" t="inlineStr">
        <is>
          <t>Subscription CVR — Blended</t>
        </is>
      </c>
      <c r="C28" s="21">
        <f>IFERROR(C26/C17,"")</f>
        <v/>
      </c>
      <c r="D28" s="21">
        <f>IFERROR(D26/D17,"")</f>
        <v/>
      </c>
      <c r="E28" s="21">
        <f>IFERROR(E26/E17,"")</f>
        <v/>
      </c>
      <c r="F28" s="21">
        <f>IFERROR(F26/F17,"")</f>
        <v/>
      </c>
      <c r="G28" s="21">
        <f>IFERROR(G26/G17,"")</f>
        <v/>
      </c>
      <c r="H28" s="21">
        <f>IFERROR(H26/H17,"")</f>
        <v/>
      </c>
      <c r="I28" s="21">
        <f>IFERROR(I26/I17,"")</f>
        <v/>
      </c>
      <c r="J28" s="21">
        <f>IFERROR(AVERAGE(C28:I28),"")</f>
        <v/>
      </c>
      <c r="K28" s="22" t="n">
        <v>0.25</v>
      </c>
      <c r="L28" s="14">
        <f>IF(N(J28)=0,"",IF(J28&gt;=K28,"✅","⚠️"))</f>
        <v/>
      </c>
      <c r="M28" s="15" t="inlineStr">
        <is>
          <t>Formula</t>
        </is>
      </c>
      <c r="N28" s="16" t="inlineStr"/>
    </row>
    <row r="29">
      <c r="B29" s="10" t="inlineStr">
        <is>
          <t>Cost per Fan (CAC)</t>
        </is>
      </c>
      <c r="C29" s="12">
        <f>IFERROR(C11/C26,"")</f>
        <v/>
      </c>
      <c r="D29" s="12">
        <f>IFERROR(D11/D26,"")</f>
        <v/>
      </c>
      <c r="E29" s="12">
        <f>IFERROR(E11/E26,"")</f>
        <v/>
      </c>
      <c r="F29" s="12">
        <f>IFERROR(F11/F26,"")</f>
        <v/>
      </c>
      <c r="G29" s="12">
        <f>IFERROR(G11/G26,"")</f>
        <v/>
      </c>
      <c r="H29" s="12">
        <f>IFERROR(H11/H26,"")</f>
        <v/>
      </c>
      <c r="I29" s="12">
        <f>IFERROR(I11/I26,"")</f>
        <v/>
      </c>
      <c r="J29" s="12">
        <f>IFERROR(AVERAGE(C29:I29),"")</f>
        <v/>
      </c>
      <c r="K29" s="13" t="inlineStr"/>
      <c r="L29" s="14" t="inlineStr"/>
      <c r="M29" s="15" t="inlineStr">
        <is>
          <t>Formula</t>
        </is>
      </c>
      <c r="N29" s="16" t="inlineStr"/>
    </row>
    <row r="30">
      <c r="A30" s="9" t="inlineStr">
        <is>
          <t>REVENUE</t>
        </is>
      </c>
    </row>
    <row r="31">
      <c r="B31" s="10" t="inlineStr">
        <is>
          <t>Revenue</t>
        </is>
      </c>
      <c r="C31" s="11">
        <f>SUMIFS('Daily Log'!$O:$O,'Daily Log'!$A:$A,C$5,'Daily Log'!$B:$B,IF($F$3="All","*",$F$3))</f>
        <v/>
      </c>
      <c r="D31" s="11">
        <f>SUMIFS('Daily Log'!$O:$O,'Daily Log'!$A:$A,D$5,'Daily Log'!$B:$B,IF($F$3="All","*",$F$3))</f>
        <v/>
      </c>
      <c r="E31" s="11">
        <f>SUMIFS('Daily Log'!$O:$O,'Daily Log'!$A:$A,E$5,'Daily Log'!$B:$B,IF($F$3="All","*",$F$3))</f>
        <v/>
      </c>
      <c r="F31" s="11">
        <f>SUMIFS('Daily Log'!$O:$O,'Daily Log'!$A:$A,F$5,'Daily Log'!$B:$B,IF($F$3="All","*",$F$3))</f>
        <v/>
      </c>
      <c r="G31" s="11">
        <f>SUMIFS('Daily Log'!$O:$O,'Daily Log'!$A:$A,G$5,'Daily Log'!$B:$B,IF($F$3="All","*",$F$3))</f>
        <v/>
      </c>
      <c r="H31" s="11">
        <f>SUMIFS('Daily Log'!$O:$O,'Daily Log'!$A:$A,H$5,'Daily Log'!$B:$B,IF($F$3="All","*",$F$3))</f>
        <v/>
      </c>
      <c r="I31" s="11">
        <f>SUMIFS('Daily Log'!$O:$O,'Daily Log'!$A:$A,I$5,'Daily Log'!$B:$B,IF($F$3="All","*",$F$3))</f>
        <v/>
      </c>
      <c r="J31" s="12">
        <f>IFERROR(AVERAGE(C31:I31),"")</f>
        <v/>
      </c>
      <c r="K31" s="13" t="inlineStr"/>
      <c r="L31" s="14" t="inlineStr"/>
      <c r="M31" s="15" t="inlineStr">
        <is>
          <t>OnlyFans API</t>
        </is>
      </c>
      <c r="N31" s="16" t="inlineStr"/>
    </row>
    <row r="32">
      <c r="B32" s="10" t="inlineStr">
        <is>
          <t>Revenue per Fan (LTV)</t>
        </is>
      </c>
      <c r="C32" s="12">
        <f>IFERROR(C31/C26,"")</f>
        <v/>
      </c>
      <c r="D32" s="12">
        <f>IFERROR(D31/D26,"")</f>
        <v/>
      </c>
      <c r="E32" s="12">
        <f>IFERROR(E31/E26,"")</f>
        <v/>
      </c>
      <c r="F32" s="12">
        <f>IFERROR(F31/F26,"")</f>
        <v/>
      </c>
      <c r="G32" s="12">
        <f>IFERROR(G31/G26,"")</f>
        <v/>
      </c>
      <c r="H32" s="12">
        <f>IFERROR(H31/H26,"")</f>
        <v/>
      </c>
      <c r="I32" s="12">
        <f>IFERROR(I31/I26,"")</f>
        <v/>
      </c>
      <c r="J32" s="12">
        <f>IFERROR(AVERAGE(C32:I32),"")</f>
        <v/>
      </c>
      <c r="K32" s="13" t="inlineStr"/>
      <c r="L32" s="14" t="inlineStr"/>
      <c r="M32" s="15" t="inlineStr">
        <is>
          <t>Formula</t>
        </is>
      </c>
      <c r="N32" s="16" t="inlineStr"/>
    </row>
    <row r="33">
      <c r="B33" s="10" t="inlineStr">
        <is>
          <t>ROAS</t>
        </is>
      </c>
      <c r="C33" s="23">
        <f>IFERROR(C31/C11,"")</f>
        <v/>
      </c>
      <c r="D33" s="23">
        <f>IFERROR(D31/D11,"")</f>
        <v/>
      </c>
      <c r="E33" s="23">
        <f>IFERROR(E31/E11,"")</f>
        <v/>
      </c>
      <c r="F33" s="23">
        <f>IFERROR(F31/F11,"")</f>
        <v/>
      </c>
      <c r="G33" s="23">
        <f>IFERROR(G31/G11,"")</f>
        <v/>
      </c>
      <c r="H33" s="23">
        <f>IFERROR(H31/H11,"")</f>
        <v/>
      </c>
      <c r="I33" s="23">
        <f>IFERROR(I31/I11,"")</f>
        <v/>
      </c>
      <c r="J33" s="23">
        <f>IFERROR(AVERAGE(C33:I33),"")</f>
        <v/>
      </c>
      <c r="K33" s="24" t="n">
        <v>2</v>
      </c>
      <c r="L33" s="14">
        <f>IF(N(J33)=0,"",IF(J33&gt;=K33,"✅","⚠️"))</f>
        <v/>
      </c>
      <c r="M33" s="15" t="inlineStr">
        <is>
          <t>Formula</t>
        </is>
      </c>
      <c r="N33" s="16" t="inlineStr">
        <is>
          <t>≥2x scale · &lt;1x cut</t>
        </is>
      </c>
    </row>
    <row r="34">
      <c r="B34" s="17" t="inlineStr">
        <is>
          <t>Profit</t>
        </is>
      </c>
      <c r="C34" s="12">
        <f>C31-C11</f>
        <v/>
      </c>
      <c r="D34" s="12">
        <f>D31-D11</f>
        <v/>
      </c>
      <c r="E34" s="12">
        <f>E31-E11</f>
        <v/>
      </c>
      <c r="F34" s="12">
        <f>F31-F11</f>
        <v/>
      </c>
      <c r="G34" s="12">
        <f>G31-G11</f>
        <v/>
      </c>
      <c r="H34" s="12">
        <f>H31-H11</f>
        <v/>
      </c>
      <c r="I34" s="12">
        <f>I31-I11</f>
        <v/>
      </c>
      <c r="J34" s="12">
        <f>IFERROR(AVERAGE(C34:I34),"")</f>
        <v/>
      </c>
      <c r="K34" s="13" t="inlineStr"/>
      <c r="L34" s="14" t="inlineStr"/>
      <c r="M34" s="15" t="inlineStr">
        <is>
          <t>Formula</t>
        </is>
      </c>
      <c r="N34" s="16" t="inlineStr"/>
    </row>
  </sheetData>
  <mergeCells count="12">
    <mergeCell ref="M4:M5"/>
    <mergeCell ref="B4:B5"/>
    <mergeCell ref="A6:N6"/>
    <mergeCell ref="A12:N12"/>
    <mergeCell ref="A21:N21"/>
    <mergeCell ref="J4:J5"/>
    <mergeCell ref="A2:N2"/>
    <mergeCell ref="N4:N5"/>
    <mergeCell ref="K4:K5"/>
    <mergeCell ref="L4:L5"/>
    <mergeCell ref="A30:N30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5" t="inlineStr">
        <is>
          <t>DAILY LOG  —  one row per day PER CREATOR. Amber = type it in; green = the script fills it.</t>
        </is>
      </c>
    </row>
    <row r="2" ht="30" customHeight="1">
      <c r="A2" s="26" t="inlineStr">
        <is>
          <t>Date</t>
        </is>
      </c>
      <c r="B2" s="26" t="inlineStr">
        <is>
          <t>Creator</t>
        </is>
      </c>
      <c r="C2" s="27" t="inlineStr">
        <is>
          <t>Ad Spend Meta</t>
        </is>
      </c>
      <c r="D2" s="28" t="inlineStr">
        <is>
          <t>Ad Spend OnlyFinder</t>
        </is>
      </c>
      <c r="E2" s="28" t="inlineStr">
        <is>
          <t>Ad Spend OnlyGuider</t>
        </is>
      </c>
      <c r="F2" s="28" t="inlineStr">
        <is>
          <t>Ad Spend OnlySeeker</t>
        </is>
      </c>
      <c r="G2" s="27" t="inlineStr">
        <is>
          <t>Clicks Meta</t>
        </is>
      </c>
      <c r="H2" s="27" t="inlineStr">
        <is>
          <t>Clicks OnlyFinder</t>
        </is>
      </c>
      <c r="I2" s="27" t="inlineStr">
        <is>
          <t>Clicks OnlyGuider</t>
        </is>
      </c>
      <c r="J2" s="27" t="inlineStr">
        <is>
          <t>Clicks OnlySeeker</t>
        </is>
      </c>
      <c r="K2" s="27" t="inlineStr">
        <is>
          <t>Fans Meta</t>
        </is>
      </c>
      <c r="L2" s="27" t="inlineStr">
        <is>
          <t>Fans OnlyFinder</t>
        </is>
      </c>
      <c r="M2" s="27" t="inlineStr">
        <is>
          <t>Fans OnlyGuider</t>
        </is>
      </c>
      <c r="N2" s="27" t="inlineStr">
        <is>
          <t>Fans OnlySeeker</t>
        </is>
      </c>
      <c r="O2" s="27" t="inlineStr">
        <is>
          <t>Revenue</t>
        </is>
      </c>
      <c r="P2" s="29" t="inlineStr">
        <is>
          <t>Total Spend</t>
        </is>
      </c>
      <c r="Q2" s="29" t="inlineStr">
        <is>
          <t>Total Fans</t>
        </is>
      </c>
      <c r="R2" s="29" t="inlineStr">
        <is>
          <t>ROAS</t>
        </is>
      </c>
      <c r="S2" s="29" t="inlineStr">
        <is>
          <t>Profit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2026-06-12T08:41:59Z</dcterms:created>
  <dcterms:modified xsi:type="dcterms:W3CDTF">2026-06-12T08:41:59Z</dcterms:modified>
</cp:coreProperties>
</file>