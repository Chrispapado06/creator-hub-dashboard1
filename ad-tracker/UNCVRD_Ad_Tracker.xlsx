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Daily Log" sheetId="2" state="visible" r:id="rId2"/>
    <sheet name="Split Tests" sheetId="3" state="visible" r:id="rId3"/>
    <sheet name="Creator Dashboard" sheetId="4" state="visible" r:id="rId4"/>
    <sheet name="Platfor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$#,##0.00"/>
    <numFmt numFmtId="166" formatCode="$#,##0"/>
    <numFmt numFmtId="167" formatCode="yyyy-mm-dd"/>
    <numFmt numFmtId="168" formatCode="0.0%"/>
    <numFmt numFmtId="169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  <color rgb="000000FF"/>
    </font>
    <font>
      <name val="Arial"/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5" fillId="3" borderId="0" applyAlignment="1" pivotButton="0" quotePrefix="0" xfId="0">
      <alignment horizontal="center"/>
    </xf>
    <xf numFmtId="165" fontId="3" fillId="2" borderId="0" pivotButton="0" quotePrefix="0" xfId="0"/>
    <xf numFmtId="166" fontId="3" fillId="2" borderId="0" pivotButton="0" quotePrefix="0" xfId="0"/>
    <xf numFmtId="167" fontId="2" fillId="0" borderId="0" pivotButton="0" quotePrefix="0" xfId="0"/>
    <xf numFmtId="165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0B5D3B"/>
      </font>
      <fill>
        <patternFill patternType="solid">
          <fgColor rgb="00B7E1CD"/>
        </patternFill>
      </fill>
    </dxf>
    <dxf>
      <font>
        <name val="Arial"/>
        <b val="1"/>
        <color rgb="007A5900"/>
      </font>
      <fill>
        <patternFill patternType="solid">
          <fgColor rgb="00FCE8B2"/>
        </patternFill>
      </fill>
    </dxf>
    <dxf>
      <font>
        <name val="Arial"/>
        <b val="1"/>
        <color rgb="008B1A10"/>
      </font>
      <fill>
        <patternFill patternType="solid">
          <fgColor rgb="00F4C7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4" max="4"/>
    <col width="14" customWidth="1" min="5" max="5"/>
  </cols>
  <sheetData>
    <row r="1">
      <c r="A1" s="1" t="inlineStr">
        <is>
          <t>SETTINGS — edit the blue cells</t>
        </is>
      </c>
      <c r="D1" s="2" t="inlineStr">
        <is>
          <t>CREATOR SALARIES</t>
        </is>
      </c>
    </row>
    <row r="2">
      <c r="A2" s="3" t="inlineStr">
        <is>
          <t>Target ROAS (revenue ÷ spend)</t>
        </is>
      </c>
      <c r="B2" s="4" t="n">
        <v>2.5</v>
      </c>
      <c r="D2" s="5" t="inlineStr">
        <is>
          <t>Creator</t>
        </is>
      </c>
      <c r="E2" s="5" t="inlineStr">
        <is>
          <t>Salary ($/mo)</t>
        </is>
      </c>
    </row>
    <row r="3">
      <c r="A3" s="3" t="inlineStr">
        <is>
          <t>Target CAC ($ / new fan)</t>
        </is>
      </c>
      <c r="B3" s="6" t="n">
        <v>15</v>
      </c>
      <c r="D3" s="3" t="inlineStr">
        <is>
          <t>Marissa</t>
        </is>
      </c>
      <c r="E3" s="7" t="n">
        <v>2000</v>
      </c>
    </row>
    <row r="4">
      <c r="A4" s="3" t="inlineStr">
        <is>
          <t>Target LTV ($ / new fan)</t>
        </is>
      </c>
      <c r="B4" s="6" t="n">
        <v>40</v>
      </c>
      <c r="D4" s="3" t="inlineStr">
        <is>
          <t>Emma</t>
        </is>
      </c>
      <c r="E4" s="7" t="n">
        <v>2000</v>
      </c>
    </row>
    <row r="5">
      <c r="D5" s="3" t="inlineStr">
        <is>
          <t>Maylee</t>
        </is>
      </c>
      <c r="E5" s="7" t="n">
        <v>2000</v>
      </c>
    </row>
    <row r="6">
      <c r="A6" s="3" t="inlineStr">
        <is>
          <t>SCALE when ROAS ≥</t>
        </is>
      </c>
      <c r="B6" s="4" t="n">
        <v>2</v>
      </c>
    </row>
    <row r="7">
      <c r="A7" s="3" t="inlineStr">
        <is>
          <t>CUT when ROAS &lt;</t>
        </is>
      </c>
      <c r="B7" s="4" t="n">
        <v>1</v>
      </c>
    </row>
    <row r="8">
      <c r="A8" s="3" t="inlineStr">
        <is>
          <t>(KEEP = everything in between)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14" customWidth="1" min="5" max="5"/>
    <col width="15" customWidth="1" min="6" max="6"/>
    <col width="15" customWidth="1" min="7" max="7"/>
    <col width="11" customWidth="1" min="14" max="14"/>
  </cols>
  <sheetData>
    <row r="1">
      <c r="A1" s="5" t="inlineStr">
        <is>
          <t>Date</t>
        </is>
      </c>
      <c r="B1" s="5" t="inlineStr">
        <is>
          <t>Platform</t>
        </is>
      </c>
      <c r="C1" s="5" t="inlineStr">
        <is>
          <t>Creator</t>
        </is>
      </c>
      <c r="D1" s="5" t="inlineStr">
        <is>
          <t>Campaign</t>
        </is>
      </c>
      <c r="E1" s="5" t="inlineStr">
        <is>
          <t>Test</t>
        </is>
      </c>
      <c r="F1" s="5" t="inlineStr">
        <is>
          <t>Variant</t>
        </is>
      </c>
      <c r="G1" s="5" t="inlineStr">
        <is>
          <t>OF Link</t>
        </is>
      </c>
      <c r="H1" s="5" t="inlineStr">
        <is>
          <t>Spend</t>
        </is>
      </c>
      <c r="I1" s="5" t="inlineStr">
        <is>
          <t>Clicks</t>
        </is>
      </c>
      <c r="J1" s="5" t="inlineStr">
        <is>
          <t>New Fans</t>
        </is>
      </c>
      <c r="K1" s="5" t="inlineStr">
        <is>
          <t>Revenue</t>
        </is>
      </c>
      <c r="L1" s="5" t="inlineStr">
        <is>
          <t>CPC</t>
        </is>
      </c>
      <c r="M1" s="5" t="inlineStr">
        <is>
          <t>CAC</t>
        </is>
      </c>
      <c r="N1" s="5" t="inlineStr">
        <is>
          <t>Click→Sub %</t>
        </is>
      </c>
      <c r="O1" s="5" t="inlineStr">
        <is>
          <t>LTV</t>
        </is>
      </c>
      <c r="P1" s="5" t="inlineStr">
        <is>
          <t>ROAS</t>
        </is>
      </c>
      <c r="Q1" s="5" t="inlineStr">
        <is>
          <t>Profit</t>
        </is>
      </c>
      <c r="R1" s="5" t="inlineStr">
        <is>
          <t>Verdict</t>
        </is>
      </c>
    </row>
    <row r="2">
      <c r="A2" s="8" t="n">
        <v>46178</v>
      </c>
      <c r="B2" s="3" t="inlineStr">
        <is>
          <t>OnlyFinder</t>
        </is>
      </c>
      <c r="C2" s="3" t="inlineStr">
        <is>
          <t>Marissa</t>
        </is>
      </c>
      <c r="D2" s="3" t="inlineStr">
        <is>
          <t>jun-launch</t>
        </is>
      </c>
      <c r="E2" s="3" t="inlineStr">
        <is>
          <t>profile pic A</t>
        </is>
      </c>
      <c r="F2" s="3" t="inlineStr">
        <is>
          <t>marissa-pic-a</t>
        </is>
      </c>
      <c r="G2" s="3" t="inlineStr">
        <is>
          <t>marissa-pic-a</t>
        </is>
      </c>
      <c r="H2" s="9" t="n">
        <v>40</v>
      </c>
      <c r="I2" s="3" t="n">
        <v>120</v>
      </c>
      <c r="J2" s="3" t="n">
        <v>9</v>
      </c>
      <c r="K2" s="9" t="n">
        <v>180</v>
      </c>
      <c r="L2" s="9">
        <f>IF($A2="","",IFERROR(H2/I2,""))</f>
        <v/>
      </c>
      <c r="M2" s="9">
        <f>IF($A2="","",IFERROR(H2/J2,""))</f>
        <v/>
      </c>
      <c r="N2" s="10">
        <f>IF($A2="","",IFERROR(J2/I2,""))</f>
        <v/>
      </c>
      <c r="O2" s="9">
        <f>IF($A2="","",IFERROR(K2/J2,""))</f>
        <v/>
      </c>
      <c r="P2" s="11">
        <f>IF($A2="","",IF(H2&gt;0,IFERROR(K2/H2,0),""))</f>
        <v/>
      </c>
      <c r="Q2" s="9">
        <f>IF($A2="","",K2-H2)</f>
        <v/>
      </c>
      <c r="R2" s="3">
        <f>IF($A2="","",IF(H2=0,"",IF(IFERROR(K2/H2,0)&gt;=Settings!$B$6,"SCALE",IF(IFERROR(K2/H2,0)&lt;Settings!$B$7,"CUT","KEEP"))))</f>
        <v/>
      </c>
    </row>
    <row r="3">
      <c r="A3" s="8" t="n">
        <v>46178</v>
      </c>
      <c r="B3" s="3" t="inlineStr">
        <is>
          <t>OnlyFinder</t>
        </is>
      </c>
      <c r="C3" s="3" t="inlineStr">
        <is>
          <t>Marissa</t>
        </is>
      </c>
      <c r="D3" s="3" t="inlineStr">
        <is>
          <t>jun-launch</t>
        </is>
      </c>
      <c r="E3" s="3" t="inlineStr">
        <is>
          <t>profile pic B</t>
        </is>
      </c>
      <c r="F3" s="3" t="inlineStr">
        <is>
          <t>marissa-pic-b</t>
        </is>
      </c>
      <c r="G3" s="3" t="inlineStr">
        <is>
          <t>marissa-pic-b</t>
        </is>
      </c>
      <c r="H3" s="9" t="n">
        <v>40</v>
      </c>
      <c r="I3" s="3" t="n">
        <v>95</v>
      </c>
      <c r="J3" s="3" t="n">
        <v>4</v>
      </c>
      <c r="K3" s="9" t="n">
        <v>60</v>
      </c>
      <c r="L3" s="9">
        <f>IF($A3="","",IFERROR(H3/I3,""))</f>
        <v/>
      </c>
      <c r="M3" s="9">
        <f>IF($A3="","",IFERROR(H3/J3,""))</f>
        <v/>
      </c>
      <c r="N3" s="10">
        <f>IF($A3="","",IFERROR(J3/I3,""))</f>
        <v/>
      </c>
      <c r="O3" s="9">
        <f>IF($A3="","",IFERROR(K3/J3,""))</f>
        <v/>
      </c>
      <c r="P3" s="11">
        <f>IF($A3="","",IF(H3&gt;0,IFERROR(K3/H3,0),""))</f>
        <v/>
      </c>
      <c r="Q3" s="9">
        <f>IF($A3="","",K3-H3)</f>
        <v/>
      </c>
      <c r="R3" s="3">
        <f>IF($A3="","",IF(H3=0,"",IF(IFERROR(K3/H3,0)&gt;=Settings!$B$6,"SCALE",IF(IFERROR(K3/H3,0)&lt;Settings!$B$7,"CUT","KEEP"))))</f>
        <v/>
      </c>
    </row>
    <row r="4">
      <c r="A4" s="8" t="n">
        <v>46178</v>
      </c>
      <c r="B4" s="3" t="inlineStr">
        <is>
          <t>Meta</t>
        </is>
      </c>
      <c r="C4" s="3" t="inlineStr">
        <is>
          <t>Emma</t>
        </is>
      </c>
      <c r="D4" s="3" t="inlineStr">
        <is>
          <t>jun-launch</t>
        </is>
      </c>
      <c r="E4" s="3" t="inlineStr">
        <is>
          <t>hook: shy</t>
        </is>
      </c>
      <c r="F4" s="3" t="inlineStr">
        <is>
          <t>emma-hook-shy</t>
        </is>
      </c>
      <c r="G4" s="3" t="inlineStr">
        <is>
          <t>emma-hook-shy</t>
        </is>
      </c>
      <c r="H4" s="9" t="n">
        <v>60</v>
      </c>
      <c r="I4" s="3" t="n">
        <v>80</v>
      </c>
      <c r="J4" s="3" t="n">
        <v>6</v>
      </c>
      <c r="K4" s="9" t="n">
        <v>140</v>
      </c>
      <c r="L4" s="9">
        <f>IF($A4="","",IFERROR(H4/I4,""))</f>
        <v/>
      </c>
      <c r="M4" s="9">
        <f>IF($A4="","",IFERROR(H4/J4,""))</f>
        <v/>
      </c>
      <c r="N4" s="10">
        <f>IF($A4="","",IFERROR(J4/I4,""))</f>
        <v/>
      </c>
      <c r="O4" s="9">
        <f>IF($A4="","",IFERROR(K4/J4,""))</f>
        <v/>
      </c>
      <c r="P4" s="11">
        <f>IF($A4="","",IF(H4&gt;0,IFERROR(K4/H4,0),""))</f>
        <v/>
      </c>
      <c r="Q4" s="9">
        <f>IF($A4="","",K4-H4)</f>
        <v/>
      </c>
      <c r="R4" s="3">
        <f>IF($A4="","",IF(H4=0,"",IF(IFERROR(K4/H4,0)&gt;=Settings!$B$6,"SCALE",IF(IFERROR(K4/H4,0)&lt;Settings!$B$7,"CUT","KEEP"))))</f>
        <v/>
      </c>
    </row>
    <row r="5">
      <c r="A5" s="8" t="n">
        <v>46178</v>
      </c>
      <c r="B5" s="3" t="inlineStr">
        <is>
          <t>Meta</t>
        </is>
      </c>
      <c r="C5" s="3" t="inlineStr">
        <is>
          <t>Emma</t>
        </is>
      </c>
      <c r="D5" s="3" t="inlineStr">
        <is>
          <t>jun-launch</t>
        </is>
      </c>
      <c r="E5" s="3" t="inlineStr">
        <is>
          <t>hook: bold</t>
        </is>
      </c>
      <c r="F5" s="3" t="inlineStr">
        <is>
          <t>emma-hook-bold</t>
        </is>
      </c>
      <c r="G5" s="3" t="inlineStr">
        <is>
          <t>emma-hook-bold</t>
        </is>
      </c>
      <c r="H5" s="9" t="n">
        <v>60</v>
      </c>
      <c r="I5" s="3" t="n">
        <v>150</v>
      </c>
      <c r="J5" s="3" t="n">
        <v>5</v>
      </c>
      <c r="K5" s="9" t="n">
        <v>70</v>
      </c>
      <c r="L5" s="9">
        <f>IF($A5="","",IFERROR(H5/I5,""))</f>
        <v/>
      </c>
      <c r="M5" s="9">
        <f>IF($A5="","",IFERROR(H5/J5,""))</f>
        <v/>
      </c>
      <c r="N5" s="10">
        <f>IF($A5="","",IFERROR(J5/I5,""))</f>
        <v/>
      </c>
      <c r="O5" s="9">
        <f>IF($A5="","",IFERROR(K5/J5,""))</f>
        <v/>
      </c>
      <c r="P5" s="11">
        <f>IF($A5="","",IF(H5&gt;0,IFERROR(K5/H5,0),""))</f>
        <v/>
      </c>
      <c r="Q5" s="9">
        <f>IF($A5="","",K5-H5)</f>
        <v/>
      </c>
      <c r="R5" s="3">
        <f>IF($A5="","",IF(H5=0,"",IF(IFERROR(K5/H5,0)&gt;=Settings!$B$6,"SCALE",IF(IFERROR(K5/H5,0)&lt;Settings!$B$7,"CUT","KEEP"))))</f>
        <v/>
      </c>
    </row>
    <row r="6">
      <c r="A6" s="8" t="n">
        <v>46178</v>
      </c>
      <c r="B6" s="3" t="inlineStr">
        <is>
          <t>OnlyFinder</t>
        </is>
      </c>
      <c r="C6" s="3" t="inlineStr">
        <is>
          <t>Maylee</t>
        </is>
      </c>
      <c r="D6" s="3" t="inlineStr">
        <is>
          <t>jun-launch</t>
        </is>
      </c>
      <c r="E6" s="3" t="inlineStr">
        <is>
          <t>keyword: gym</t>
        </is>
      </c>
      <c r="F6" s="3" t="inlineStr">
        <is>
          <t>maylee-gym</t>
        </is>
      </c>
      <c r="G6" s="3" t="inlineStr">
        <is>
          <t>maylee-gym</t>
        </is>
      </c>
      <c r="H6" s="9" t="n">
        <v>25</v>
      </c>
      <c r="I6" s="3" t="n">
        <v>90</v>
      </c>
      <c r="J6" s="3" t="n">
        <v>11</v>
      </c>
      <c r="K6" s="9" t="n">
        <v>320</v>
      </c>
      <c r="L6" s="9">
        <f>IF($A6="","",IFERROR(H6/I6,""))</f>
        <v/>
      </c>
      <c r="M6" s="9">
        <f>IF($A6="","",IFERROR(H6/J6,""))</f>
        <v/>
      </c>
      <c r="N6" s="10">
        <f>IF($A6="","",IFERROR(J6/I6,""))</f>
        <v/>
      </c>
      <c r="O6" s="9">
        <f>IF($A6="","",IFERROR(K6/J6,""))</f>
        <v/>
      </c>
      <c r="P6" s="11">
        <f>IF($A6="","",IF(H6&gt;0,IFERROR(K6/H6,0),""))</f>
        <v/>
      </c>
      <c r="Q6" s="9">
        <f>IF($A6="","",K6-H6)</f>
        <v/>
      </c>
      <c r="R6" s="3">
        <f>IF($A6="","",IF(H6=0,"",IF(IFERROR(K6/H6,0)&gt;=Settings!$B$6,"SCALE",IF(IFERROR(K6/H6,0)&lt;Settings!$B$7,"CUT","KEEP"))))</f>
        <v/>
      </c>
    </row>
    <row r="7">
      <c r="A7" s="8" t="n">
        <v>46178</v>
      </c>
      <c r="B7" s="3" t="inlineStr">
        <is>
          <t>OnlyFinder</t>
        </is>
      </c>
      <c r="C7" s="3" t="inlineStr">
        <is>
          <t>Maylee</t>
        </is>
      </c>
      <c r="D7" s="3" t="inlineStr">
        <is>
          <t>jun-launch</t>
        </is>
      </c>
      <c r="E7" s="3" t="inlineStr">
        <is>
          <t>keyword: beach</t>
        </is>
      </c>
      <c r="F7" s="3" t="inlineStr">
        <is>
          <t>maylee-beach</t>
        </is>
      </c>
      <c r="G7" s="3" t="inlineStr">
        <is>
          <t>maylee-beach</t>
        </is>
      </c>
      <c r="H7" s="9" t="n">
        <v>25</v>
      </c>
      <c r="I7" s="3" t="n">
        <v>70</v>
      </c>
      <c r="J7" s="3" t="n">
        <v>3</v>
      </c>
      <c r="K7" s="9" t="n">
        <v>40</v>
      </c>
      <c r="L7" s="9">
        <f>IF($A7="","",IFERROR(H7/I7,""))</f>
        <v/>
      </c>
      <c r="M7" s="9">
        <f>IF($A7="","",IFERROR(H7/J7,""))</f>
        <v/>
      </c>
      <c r="N7" s="10">
        <f>IF($A7="","",IFERROR(J7/I7,""))</f>
        <v/>
      </c>
      <c r="O7" s="9">
        <f>IF($A7="","",IFERROR(K7/J7,""))</f>
        <v/>
      </c>
      <c r="P7" s="11">
        <f>IF($A7="","",IF(H7&gt;0,IFERROR(K7/H7,0),""))</f>
        <v/>
      </c>
      <c r="Q7" s="9">
        <f>IF($A7="","",K7-H7)</f>
        <v/>
      </c>
      <c r="R7" s="3">
        <f>IF($A7="","",IF(H7=0,"",IF(IFERROR(K7/H7,0)&gt;=Settings!$B$6,"SCALE",IF(IFERROR(K7/H7,0)&lt;Settings!$B$7,"CUT","KEEP"))))</f>
        <v/>
      </c>
    </row>
    <row r="8">
      <c r="A8" s="8" t="n">
        <v>46179</v>
      </c>
      <c r="B8" s="3" t="inlineStr">
        <is>
          <t>OnlyFinder</t>
        </is>
      </c>
      <c r="C8" s="3" t="inlineStr">
        <is>
          <t>Marissa</t>
        </is>
      </c>
      <c r="D8" s="3" t="inlineStr">
        <is>
          <t>jun-launch</t>
        </is>
      </c>
      <c r="E8" s="3" t="inlineStr">
        <is>
          <t>profile pic A</t>
        </is>
      </c>
      <c r="F8" s="3" t="inlineStr">
        <is>
          <t>marissa-pic-a</t>
        </is>
      </c>
      <c r="G8" s="3" t="inlineStr">
        <is>
          <t>marissa-pic-a</t>
        </is>
      </c>
      <c r="H8" s="9" t="n">
        <v>45</v>
      </c>
      <c r="I8" s="3" t="n">
        <v>130</v>
      </c>
      <c r="J8" s="3" t="n">
        <v>10</v>
      </c>
      <c r="K8" s="9" t="n">
        <v>210</v>
      </c>
      <c r="L8" s="9">
        <f>IF($A8="","",IFERROR(H8/I8,""))</f>
        <v/>
      </c>
      <c r="M8" s="9">
        <f>IF($A8="","",IFERROR(H8/J8,""))</f>
        <v/>
      </c>
      <c r="N8" s="10">
        <f>IF($A8="","",IFERROR(J8/I8,""))</f>
        <v/>
      </c>
      <c r="O8" s="9">
        <f>IF($A8="","",IFERROR(K8/J8,""))</f>
        <v/>
      </c>
      <c r="P8" s="11">
        <f>IF($A8="","",IF(H8&gt;0,IFERROR(K8/H8,0),""))</f>
        <v/>
      </c>
      <c r="Q8" s="9">
        <f>IF($A8="","",K8-H8)</f>
        <v/>
      </c>
      <c r="R8" s="3">
        <f>IF($A8="","",IF(H8=0,"",IF(IFERROR(K8/H8,0)&gt;=Settings!$B$6,"SCALE",IF(IFERROR(K8/H8,0)&lt;Settings!$B$7,"CUT","KEEP"))))</f>
        <v/>
      </c>
    </row>
    <row r="9">
      <c r="A9" s="8" t="n">
        <v>46179</v>
      </c>
      <c r="B9" s="3" t="inlineStr">
        <is>
          <t>OnlyFinder</t>
        </is>
      </c>
      <c r="C9" s="3" t="inlineStr">
        <is>
          <t>Marissa</t>
        </is>
      </c>
      <c r="D9" s="3" t="inlineStr">
        <is>
          <t>jun-launch</t>
        </is>
      </c>
      <c r="E9" s="3" t="inlineStr">
        <is>
          <t>profile pic B</t>
        </is>
      </c>
      <c r="F9" s="3" t="inlineStr">
        <is>
          <t>marissa-pic-b</t>
        </is>
      </c>
      <c r="G9" s="3" t="inlineStr">
        <is>
          <t>marissa-pic-b</t>
        </is>
      </c>
      <c r="H9" s="9" t="n">
        <v>30</v>
      </c>
      <c r="I9" s="3" t="n">
        <v>70</v>
      </c>
      <c r="J9" s="3" t="n">
        <v>2</v>
      </c>
      <c r="K9" s="9" t="n">
        <v>25</v>
      </c>
      <c r="L9" s="9">
        <f>IF($A9="","",IFERROR(H9/I9,""))</f>
        <v/>
      </c>
      <c r="M9" s="9">
        <f>IF($A9="","",IFERROR(H9/J9,""))</f>
        <v/>
      </c>
      <c r="N9" s="10">
        <f>IF($A9="","",IFERROR(J9/I9,""))</f>
        <v/>
      </c>
      <c r="O9" s="9">
        <f>IF($A9="","",IFERROR(K9/J9,""))</f>
        <v/>
      </c>
      <c r="P9" s="11">
        <f>IF($A9="","",IF(H9&gt;0,IFERROR(K9/H9,0),""))</f>
        <v/>
      </c>
      <c r="Q9" s="9">
        <f>IF($A9="","",K9-H9)</f>
        <v/>
      </c>
      <c r="R9" s="3">
        <f>IF($A9="","",IF(H9=0,"",IF(IFERROR(K9/H9,0)&gt;=Settings!$B$6,"SCALE",IF(IFERROR(K9/H9,0)&lt;Settings!$B$7,"CUT","KEEP"))))</f>
        <v/>
      </c>
    </row>
    <row r="10">
      <c r="A10" s="8" t="n">
        <v>46179</v>
      </c>
      <c r="B10" s="3" t="inlineStr">
        <is>
          <t>Meta</t>
        </is>
      </c>
      <c r="C10" s="3" t="inlineStr">
        <is>
          <t>Emma</t>
        </is>
      </c>
      <c r="D10" s="3" t="inlineStr">
        <is>
          <t>jun-launch</t>
        </is>
      </c>
      <c r="E10" s="3" t="inlineStr">
        <is>
          <t>hook: shy</t>
        </is>
      </c>
      <c r="F10" s="3" t="inlineStr">
        <is>
          <t>emma-hook-shy</t>
        </is>
      </c>
      <c r="G10" s="3" t="inlineStr">
        <is>
          <t>emma-hook-shy</t>
        </is>
      </c>
      <c r="H10" s="9" t="n">
        <v>65</v>
      </c>
      <c r="I10" s="3" t="n">
        <v>85</v>
      </c>
      <c r="J10" s="3" t="n">
        <v>7</v>
      </c>
      <c r="K10" s="9" t="n">
        <v>175</v>
      </c>
      <c r="L10" s="9">
        <f>IF($A10="","",IFERROR(H10/I10,""))</f>
        <v/>
      </c>
      <c r="M10" s="9">
        <f>IF($A10="","",IFERROR(H10/J10,""))</f>
        <v/>
      </c>
      <c r="N10" s="10">
        <f>IF($A10="","",IFERROR(J10/I10,""))</f>
        <v/>
      </c>
      <c r="O10" s="9">
        <f>IF($A10="","",IFERROR(K10/J10,""))</f>
        <v/>
      </c>
      <c r="P10" s="11">
        <f>IF($A10="","",IF(H10&gt;0,IFERROR(K10/H10,0),""))</f>
        <v/>
      </c>
      <c r="Q10" s="9">
        <f>IF($A10="","",K10-H10)</f>
        <v/>
      </c>
      <c r="R10" s="3">
        <f>IF($A10="","",IF(H10=0,"",IF(IFERROR(K10/H10,0)&gt;=Settings!$B$6,"SCALE",IF(IFERROR(K10/H10,0)&lt;Settings!$B$7,"CUT","KEEP"))))</f>
        <v/>
      </c>
    </row>
    <row r="11">
      <c r="A11" s="8" t="n">
        <v>46179</v>
      </c>
      <c r="B11" s="3" t="inlineStr">
        <is>
          <t>Meta</t>
        </is>
      </c>
      <c r="C11" s="3" t="inlineStr">
        <is>
          <t>Emma</t>
        </is>
      </c>
      <c r="D11" s="3" t="inlineStr">
        <is>
          <t>jun-launch</t>
        </is>
      </c>
      <c r="E11" s="3" t="inlineStr">
        <is>
          <t>hook: bold</t>
        </is>
      </c>
      <c r="F11" s="3" t="inlineStr">
        <is>
          <t>emma-hook-bold</t>
        </is>
      </c>
      <c r="G11" s="3" t="inlineStr">
        <is>
          <t>emma-hook-bold</t>
        </is>
      </c>
      <c r="H11" s="9" t="n">
        <v>50</v>
      </c>
      <c r="I11" s="3" t="n">
        <v>120</v>
      </c>
      <c r="J11" s="3" t="n">
        <v>4</v>
      </c>
      <c r="K11" s="9" t="n">
        <v>55</v>
      </c>
      <c r="L11" s="9">
        <f>IF($A11="","",IFERROR(H11/I11,""))</f>
        <v/>
      </c>
      <c r="M11" s="9">
        <f>IF($A11="","",IFERROR(H11/J11,""))</f>
        <v/>
      </c>
      <c r="N11" s="10">
        <f>IF($A11="","",IFERROR(J11/I11,""))</f>
        <v/>
      </c>
      <c r="O11" s="9">
        <f>IF($A11="","",IFERROR(K11/J11,""))</f>
        <v/>
      </c>
      <c r="P11" s="11">
        <f>IF($A11="","",IF(H11&gt;0,IFERROR(K11/H11,0),""))</f>
        <v/>
      </c>
      <c r="Q11" s="9">
        <f>IF($A11="","",K11-H11)</f>
        <v/>
      </c>
      <c r="R11" s="3">
        <f>IF($A11="","",IF(H11=0,"",IF(IFERROR(K11/H11,0)&gt;=Settings!$B$6,"SCALE",IF(IFERROR(K11/H11,0)&lt;Settings!$B$7,"CUT","KEEP"))))</f>
        <v/>
      </c>
    </row>
    <row r="12">
      <c r="A12" s="8" t="n">
        <v>46179</v>
      </c>
      <c r="B12" s="3" t="inlineStr">
        <is>
          <t>OnlyFinder</t>
        </is>
      </c>
      <c r="C12" s="3" t="inlineStr">
        <is>
          <t>Maylee</t>
        </is>
      </c>
      <c r="D12" s="3" t="inlineStr">
        <is>
          <t>jun-launch</t>
        </is>
      </c>
      <c r="E12" s="3" t="inlineStr">
        <is>
          <t>keyword: gym</t>
        </is>
      </c>
      <c r="F12" s="3" t="inlineStr">
        <is>
          <t>maylee-gym</t>
        </is>
      </c>
      <c r="G12" s="3" t="inlineStr">
        <is>
          <t>maylee-gym</t>
        </is>
      </c>
      <c r="H12" s="9" t="n">
        <v>30</v>
      </c>
      <c r="I12" s="3" t="n">
        <v>100</v>
      </c>
      <c r="J12" s="3" t="n">
        <v>13</v>
      </c>
      <c r="K12" s="9" t="n">
        <v>360</v>
      </c>
      <c r="L12" s="9">
        <f>IF($A12="","",IFERROR(H12/I12,""))</f>
        <v/>
      </c>
      <c r="M12" s="9">
        <f>IF($A12="","",IFERROR(H12/J12,""))</f>
        <v/>
      </c>
      <c r="N12" s="10">
        <f>IF($A12="","",IFERROR(J12/I12,""))</f>
        <v/>
      </c>
      <c r="O12" s="9">
        <f>IF($A12="","",IFERROR(K12/J12,""))</f>
        <v/>
      </c>
      <c r="P12" s="11">
        <f>IF($A12="","",IF(H12&gt;0,IFERROR(K12/H12,0),""))</f>
        <v/>
      </c>
      <c r="Q12" s="9">
        <f>IF($A12="","",K12-H12)</f>
        <v/>
      </c>
      <c r="R12" s="3">
        <f>IF($A12="","",IF(H12=0,"",IF(IFERROR(K12/H12,0)&gt;=Settings!$B$6,"SCALE",IF(IFERROR(K12/H12,0)&lt;Settings!$B$7,"CUT","KEEP"))))</f>
        <v/>
      </c>
    </row>
    <row r="13">
      <c r="A13" s="8" t="n">
        <v>46179</v>
      </c>
      <c r="B13" s="3" t="inlineStr">
        <is>
          <t>OnlyFinder</t>
        </is>
      </c>
      <c r="C13" s="3" t="inlineStr">
        <is>
          <t>Maylee</t>
        </is>
      </c>
      <c r="D13" s="3" t="inlineStr">
        <is>
          <t>jun-launch</t>
        </is>
      </c>
      <c r="E13" s="3" t="inlineStr">
        <is>
          <t>keyword: beach</t>
        </is>
      </c>
      <c r="F13" s="3" t="inlineStr">
        <is>
          <t>maylee-beach</t>
        </is>
      </c>
      <c r="G13" s="3" t="inlineStr">
        <is>
          <t>maylee-beach</t>
        </is>
      </c>
      <c r="H13" s="9" t="n">
        <v>20</v>
      </c>
      <c r="I13" s="3" t="n">
        <v>60</v>
      </c>
      <c r="J13" s="3" t="n">
        <v>2</v>
      </c>
      <c r="K13" s="9" t="n">
        <v>30</v>
      </c>
      <c r="L13" s="9">
        <f>IF($A13="","",IFERROR(H13/I13,""))</f>
        <v/>
      </c>
      <c r="M13" s="9">
        <f>IF($A13="","",IFERROR(H13/J13,""))</f>
        <v/>
      </c>
      <c r="N13" s="10">
        <f>IF($A13="","",IFERROR(J13/I13,""))</f>
        <v/>
      </c>
      <c r="O13" s="9">
        <f>IF($A13="","",IFERROR(K13/J13,""))</f>
        <v/>
      </c>
      <c r="P13" s="11">
        <f>IF($A13="","",IF(H13&gt;0,IFERROR(K13/H13,0),""))</f>
        <v/>
      </c>
      <c r="Q13" s="9">
        <f>IF($A13="","",K13-H13)</f>
        <v/>
      </c>
      <c r="R13" s="3">
        <f>IF($A13="","",IF(H13=0,"",IF(IFERROR(K13/H13,0)&gt;=Settings!$B$6,"SCALE",IF(IFERROR(K13/H13,0)&lt;Settings!$B$7,"CUT","KEEP"))))</f>
        <v/>
      </c>
    </row>
    <row r="14">
      <c r="L14" s="9">
        <f>IF($A14="","",IFERROR(H14/I14,""))</f>
        <v/>
      </c>
      <c r="M14" s="9">
        <f>IF($A14="","",IFERROR(H14/J14,""))</f>
        <v/>
      </c>
      <c r="N14" s="10">
        <f>IF($A14="","",IFERROR(J14/I14,""))</f>
        <v/>
      </c>
      <c r="O14" s="9">
        <f>IF($A14="","",IFERROR(K14/J14,""))</f>
        <v/>
      </c>
      <c r="P14" s="11">
        <f>IF($A14="","",IF(H14&gt;0,IFERROR(K14/H14,0),""))</f>
        <v/>
      </c>
      <c r="Q14" s="9">
        <f>IF($A14="","",K14-H14)</f>
        <v/>
      </c>
      <c r="R14" s="3">
        <f>IF($A14="","",IF(H14=0,"",IF(IFERROR(K14/H14,0)&gt;=Settings!$B$6,"SCALE",IF(IFERROR(K14/H14,0)&lt;Settings!$B$7,"CUT","KEEP"))))</f>
        <v/>
      </c>
    </row>
    <row r="15">
      <c r="L15" s="9">
        <f>IF($A15="","",IFERROR(H15/I15,""))</f>
        <v/>
      </c>
      <c r="M15" s="9">
        <f>IF($A15="","",IFERROR(H15/J15,""))</f>
        <v/>
      </c>
      <c r="N15" s="10">
        <f>IF($A15="","",IFERROR(J15/I15,""))</f>
        <v/>
      </c>
      <c r="O15" s="9">
        <f>IF($A15="","",IFERROR(K15/J15,""))</f>
        <v/>
      </c>
      <c r="P15" s="11">
        <f>IF($A15="","",IF(H15&gt;0,IFERROR(K15/H15,0),""))</f>
        <v/>
      </c>
      <c r="Q15" s="9">
        <f>IF($A15="","",K15-H15)</f>
        <v/>
      </c>
      <c r="R15" s="3">
        <f>IF($A15="","",IF(H15=0,"",IF(IFERROR(K15/H15,0)&gt;=Settings!$B$6,"SCALE",IF(IFERROR(K15/H15,0)&lt;Settings!$B$7,"CUT","KEEP"))))</f>
        <v/>
      </c>
    </row>
    <row r="16">
      <c r="L16" s="9">
        <f>IF($A16="","",IFERROR(H16/I16,""))</f>
        <v/>
      </c>
      <c r="M16" s="9">
        <f>IF($A16="","",IFERROR(H16/J16,""))</f>
        <v/>
      </c>
      <c r="N16" s="10">
        <f>IF($A16="","",IFERROR(J16/I16,""))</f>
        <v/>
      </c>
      <c r="O16" s="9">
        <f>IF($A16="","",IFERROR(K16/J16,""))</f>
        <v/>
      </c>
      <c r="P16" s="11">
        <f>IF($A16="","",IF(H16&gt;0,IFERROR(K16/H16,0),""))</f>
        <v/>
      </c>
      <c r="Q16" s="9">
        <f>IF($A16="","",K16-H16)</f>
        <v/>
      </c>
      <c r="R16" s="3">
        <f>IF($A16="","",IF(H16=0,"",IF(IFERROR(K16/H16,0)&gt;=Settings!$B$6,"SCALE",IF(IFERROR(K16/H16,0)&lt;Settings!$B$7,"CUT","KEEP"))))</f>
        <v/>
      </c>
    </row>
    <row r="17">
      <c r="L17" s="9">
        <f>IF($A17="","",IFERROR(H17/I17,""))</f>
        <v/>
      </c>
      <c r="M17" s="9">
        <f>IF($A17="","",IFERROR(H17/J17,""))</f>
        <v/>
      </c>
      <c r="N17" s="10">
        <f>IF($A17="","",IFERROR(J17/I17,""))</f>
        <v/>
      </c>
      <c r="O17" s="9">
        <f>IF($A17="","",IFERROR(K17/J17,""))</f>
        <v/>
      </c>
      <c r="P17" s="11">
        <f>IF($A17="","",IF(H17&gt;0,IFERROR(K17/H17,0),""))</f>
        <v/>
      </c>
      <c r="Q17" s="9">
        <f>IF($A17="","",K17-H17)</f>
        <v/>
      </c>
      <c r="R17" s="3">
        <f>IF($A17="","",IF(H17=0,"",IF(IFERROR(K17/H17,0)&gt;=Settings!$B$6,"SCALE",IF(IFERROR(K17/H17,0)&lt;Settings!$B$7,"CUT","KEEP"))))</f>
        <v/>
      </c>
    </row>
    <row r="18">
      <c r="L18" s="9">
        <f>IF($A18="","",IFERROR(H18/I18,""))</f>
        <v/>
      </c>
      <c r="M18" s="9">
        <f>IF($A18="","",IFERROR(H18/J18,""))</f>
        <v/>
      </c>
      <c r="N18" s="10">
        <f>IF($A18="","",IFERROR(J18/I18,""))</f>
        <v/>
      </c>
      <c r="O18" s="9">
        <f>IF($A18="","",IFERROR(K18/J18,""))</f>
        <v/>
      </c>
      <c r="P18" s="11">
        <f>IF($A18="","",IF(H18&gt;0,IFERROR(K18/H18,0),""))</f>
        <v/>
      </c>
      <c r="Q18" s="9">
        <f>IF($A18="","",K18-H18)</f>
        <v/>
      </c>
      <c r="R18" s="3">
        <f>IF($A18="","",IF(H18=0,"",IF(IFERROR(K18/H18,0)&gt;=Settings!$B$6,"SCALE",IF(IFERROR(K18/H18,0)&lt;Settings!$B$7,"CUT","KEEP"))))</f>
        <v/>
      </c>
    </row>
    <row r="19">
      <c r="L19" s="9">
        <f>IF($A19="","",IFERROR(H19/I19,""))</f>
        <v/>
      </c>
      <c r="M19" s="9">
        <f>IF($A19="","",IFERROR(H19/J19,""))</f>
        <v/>
      </c>
      <c r="N19" s="10">
        <f>IF($A19="","",IFERROR(J19/I19,""))</f>
        <v/>
      </c>
      <c r="O19" s="9">
        <f>IF($A19="","",IFERROR(K19/J19,""))</f>
        <v/>
      </c>
      <c r="P19" s="11">
        <f>IF($A19="","",IF(H19&gt;0,IFERROR(K19/H19,0),""))</f>
        <v/>
      </c>
      <c r="Q19" s="9">
        <f>IF($A19="","",K19-H19)</f>
        <v/>
      </c>
      <c r="R19" s="3">
        <f>IF($A19="","",IF(H19=0,"",IF(IFERROR(K19/H19,0)&gt;=Settings!$B$6,"SCALE",IF(IFERROR(K19/H19,0)&lt;Settings!$B$7,"CUT","KEEP"))))</f>
        <v/>
      </c>
    </row>
    <row r="20">
      <c r="L20" s="9">
        <f>IF($A20="","",IFERROR(H20/I20,""))</f>
        <v/>
      </c>
      <c r="M20" s="9">
        <f>IF($A20="","",IFERROR(H20/J20,""))</f>
        <v/>
      </c>
      <c r="N20" s="10">
        <f>IF($A20="","",IFERROR(J20/I20,""))</f>
        <v/>
      </c>
      <c r="O20" s="9">
        <f>IF($A20="","",IFERROR(K20/J20,""))</f>
        <v/>
      </c>
      <c r="P20" s="11">
        <f>IF($A20="","",IF(H20&gt;0,IFERROR(K20/H20,0),""))</f>
        <v/>
      </c>
      <c r="Q20" s="9">
        <f>IF($A20="","",K20-H20)</f>
        <v/>
      </c>
      <c r="R20" s="3">
        <f>IF($A20="","",IF(H20=0,"",IF(IFERROR(K20/H20,0)&gt;=Settings!$B$6,"SCALE",IF(IFERROR(K20/H20,0)&lt;Settings!$B$7,"CUT","KEEP"))))</f>
        <v/>
      </c>
    </row>
    <row r="21">
      <c r="L21" s="9">
        <f>IF($A21="","",IFERROR(H21/I21,""))</f>
        <v/>
      </c>
      <c r="M21" s="9">
        <f>IF($A21="","",IFERROR(H21/J21,""))</f>
        <v/>
      </c>
      <c r="N21" s="10">
        <f>IF($A21="","",IFERROR(J21/I21,""))</f>
        <v/>
      </c>
      <c r="O21" s="9">
        <f>IF($A21="","",IFERROR(K21/J21,""))</f>
        <v/>
      </c>
      <c r="P21" s="11">
        <f>IF($A21="","",IF(H21&gt;0,IFERROR(K21/H21,0),""))</f>
        <v/>
      </c>
      <c r="Q21" s="9">
        <f>IF($A21="","",K21-H21)</f>
        <v/>
      </c>
      <c r="R21" s="3">
        <f>IF($A21="","",IF(H21=0,"",IF(IFERROR(K21/H21,0)&gt;=Settings!$B$6,"SCALE",IF(IFERROR(K21/H21,0)&lt;Settings!$B$7,"CUT","KEEP"))))</f>
        <v/>
      </c>
    </row>
    <row r="22">
      <c r="L22" s="9">
        <f>IF($A22="","",IFERROR(H22/I22,""))</f>
        <v/>
      </c>
      <c r="M22" s="9">
        <f>IF($A22="","",IFERROR(H22/J22,""))</f>
        <v/>
      </c>
      <c r="N22" s="10">
        <f>IF($A22="","",IFERROR(J22/I22,""))</f>
        <v/>
      </c>
      <c r="O22" s="9">
        <f>IF($A22="","",IFERROR(K22/J22,""))</f>
        <v/>
      </c>
      <c r="P22" s="11">
        <f>IF($A22="","",IF(H22&gt;0,IFERROR(K22/H22,0),""))</f>
        <v/>
      </c>
      <c r="Q22" s="9">
        <f>IF($A22="","",K22-H22)</f>
        <v/>
      </c>
      <c r="R22" s="3">
        <f>IF($A22="","",IF(H22=0,"",IF(IFERROR(K22/H22,0)&gt;=Settings!$B$6,"SCALE",IF(IFERROR(K22/H22,0)&lt;Settings!$B$7,"CUT","KEEP"))))</f>
        <v/>
      </c>
    </row>
    <row r="23">
      <c r="L23" s="9">
        <f>IF($A23="","",IFERROR(H23/I23,""))</f>
        <v/>
      </c>
      <c r="M23" s="9">
        <f>IF($A23="","",IFERROR(H23/J23,""))</f>
        <v/>
      </c>
      <c r="N23" s="10">
        <f>IF($A23="","",IFERROR(J23/I23,""))</f>
        <v/>
      </c>
      <c r="O23" s="9">
        <f>IF($A23="","",IFERROR(K23/J23,""))</f>
        <v/>
      </c>
      <c r="P23" s="11">
        <f>IF($A23="","",IF(H23&gt;0,IFERROR(K23/H23,0),""))</f>
        <v/>
      </c>
      <c r="Q23" s="9">
        <f>IF($A23="","",K23-H23)</f>
        <v/>
      </c>
      <c r="R23" s="3">
        <f>IF($A23="","",IF(H23=0,"",IF(IFERROR(K23/H23,0)&gt;=Settings!$B$6,"SCALE",IF(IFERROR(K23/H23,0)&lt;Settings!$B$7,"CUT","KEEP"))))</f>
        <v/>
      </c>
    </row>
    <row r="24">
      <c r="L24" s="9">
        <f>IF($A24="","",IFERROR(H24/I24,""))</f>
        <v/>
      </c>
      <c r="M24" s="9">
        <f>IF($A24="","",IFERROR(H24/J24,""))</f>
        <v/>
      </c>
      <c r="N24" s="10">
        <f>IF($A24="","",IFERROR(J24/I24,""))</f>
        <v/>
      </c>
      <c r="O24" s="9">
        <f>IF($A24="","",IFERROR(K24/J24,""))</f>
        <v/>
      </c>
      <c r="P24" s="11">
        <f>IF($A24="","",IF(H24&gt;0,IFERROR(K24/H24,0),""))</f>
        <v/>
      </c>
      <c r="Q24" s="9">
        <f>IF($A24="","",K24-H24)</f>
        <v/>
      </c>
      <c r="R24" s="3">
        <f>IF($A24="","",IF(H24=0,"",IF(IFERROR(K24/H24,0)&gt;=Settings!$B$6,"SCALE",IF(IFERROR(K24/H24,0)&lt;Settings!$B$7,"CUT","KEEP"))))</f>
        <v/>
      </c>
    </row>
    <row r="25">
      <c r="L25" s="9">
        <f>IF($A25="","",IFERROR(H25/I25,""))</f>
        <v/>
      </c>
      <c r="M25" s="9">
        <f>IF($A25="","",IFERROR(H25/J25,""))</f>
        <v/>
      </c>
      <c r="N25" s="10">
        <f>IF($A25="","",IFERROR(J25/I25,""))</f>
        <v/>
      </c>
      <c r="O25" s="9">
        <f>IF($A25="","",IFERROR(K25/J25,""))</f>
        <v/>
      </c>
      <c r="P25" s="11">
        <f>IF($A25="","",IF(H25&gt;0,IFERROR(K25/H25,0),""))</f>
        <v/>
      </c>
      <c r="Q25" s="9">
        <f>IF($A25="","",K25-H25)</f>
        <v/>
      </c>
      <c r="R25" s="3">
        <f>IF($A25="","",IF(H25=0,"",IF(IFERROR(K25/H25,0)&gt;=Settings!$B$6,"SCALE",IF(IFERROR(K25/H25,0)&lt;Settings!$B$7,"CUT","KEEP"))))</f>
        <v/>
      </c>
    </row>
    <row r="26">
      <c r="L26" s="9">
        <f>IF($A26="","",IFERROR(H26/I26,""))</f>
        <v/>
      </c>
      <c r="M26" s="9">
        <f>IF($A26="","",IFERROR(H26/J26,""))</f>
        <v/>
      </c>
      <c r="N26" s="10">
        <f>IF($A26="","",IFERROR(J26/I26,""))</f>
        <v/>
      </c>
      <c r="O26" s="9">
        <f>IF($A26="","",IFERROR(K26/J26,""))</f>
        <v/>
      </c>
      <c r="P26" s="11">
        <f>IF($A26="","",IF(H26&gt;0,IFERROR(K26/H26,0),""))</f>
        <v/>
      </c>
      <c r="Q26" s="9">
        <f>IF($A26="","",K26-H26)</f>
        <v/>
      </c>
      <c r="R26" s="3">
        <f>IF($A26="","",IF(H26=0,"",IF(IFERROR(K26/H26,0)&gt;=Settings!$B$6,"SCALE",IF(IFERROR(K26/H26,0)&lt;Settings!$B$7,"CUT","KEEP"))))</f>
        <v/>
      </c>
    </row>
    <row r="27">
      <c r="L27" s="9">
        <f>IF($A27="","",IFERROR(H27/I27,""))</f>
        <v/>
      </c>
      <c r="M27" s="9">
        <f>IF($A27="","",IFERROR(H27/J27,""))</f>
        <v/>
      </c>
      <c r="N27" s="10">
        <f>IF($A27="","",IFERROR(J27/I27,""))</f>
        <v/>
      </c>
      <c r="O27" s="9">
        <f>IF($A27="","",IFERROR(K27/J27,""))</f>
        <v/>
      </c>
      <c r="P27" s="11">
        <f>IF($A27="","",IF(H27&gt;0,IFERROR(K27/H27,0),""))</f>
        <v/>
      </c>
      <c r="Q27" s="9">
        <f>IF($A27="","",K27-H27)</f>
        <v/>
      </c>
      <c r="R27" s="3">
        <f>IF($A27="","",IF(H27=0,"",IF(IFERROR(K27/H27,0)&gt;=Settings!$B$6,"SCALE",IF(IFERROR(K27/H27,0)&lt;Settings!$B$7,"CUT","KEEP"))))</f>
        <v/>
      </c>
    </row>
    <row r="28">
      <c r="L28" s="9">
        <f>IF($A28="","",IFERROR(H28/I28,""))</f>
        <v/>
      </c>
      <c r="M28" s="9">
        <f>IF($A28="","",IFERROR(H28/J28,""))</f>
        <v/>
      </c>
      <c r="N28" s="10">
        <f>IF($A28="","",IFERROR(J28/I28,""))</f>
        <v/>
      </c>
      <c r="O28" s="9">
        <f>IF($A28="","",IFERROR(K28/J28,""))</f>
        <v/>
      </c>
      <c r="P28" s="11">
        <f>IF($A28="","",IF(H28&gt;0,IFERROR(K28/H28,0),""))</f>
        <v/>
      </c>
      <c r="Q28" s="9">
        <f>IF($A28="","",K28-H28)</f>
        <v/>
      </c>
      <c r="R28" s="3">
        <f>IF($A28="","",IF(H28=0,"",IF(IFERROR(K28/H28,0)&gt;=Settings!$B$6,"SCALE",IF(IFERROR(K28/H28,0)&lt;Settings!$B$7,"CUT","KEEP"))))</f>
        <v/>
      </c>
    </row>
    <row r="29">
      <c r="L29" s="9">
        <f>IF($A29="","",IFERROR(H29/I29,""))</f>
        <v/>
      </c>
      <c r="M29" s="9">
        <f>IF($A29="","",IFERROR(H29/J29,""))</f>
        <v/>
      </c>
      <c r="N29" s="10">
        <f>IF($A29="","",IFERROR(J29/I29,""))</f>
        <v/>
      </c>
      <c r="O29" s="9">
        <f>IF($A29="","",IFERROR(K29/J29,""))</f>
        <v/>
      </c>
      <c r="P29" s="11">
        <f>IF($A29="","",IF(H29&gt;0,IFERROR(K29/H29,0),""))</f>
        <v/>
      </c>
      <c r="Q29" s="9">
        <f>IF($A29="","",K29-H29)</f>
        <v/>
      </c>
      <c r="R29" s="3">
        <f>IF($A29="","",IF(H29=0,"",IF(IFERROR(K29/H29,0)&gt;=Settings!$B$6,"SCALE",IF(IFERROR(K29/H29,0)&lt;Settings!$B$7,"CUT","KEEP"))))</f>
        <v/>
      </c>
    </row>
    <row r="30">
      <c r="L30" s="9">
        <f>IF($A30="","",IFERROR(H30/I30,""))</f>
        <v/>
      </c>
      <c r="M30" s="9">
        <f>IF($A30="","",IFERROR(H30/J30,""))</f>
        <v/>
      </c>
      <c r="N30" s="10">
        <f>IF($A30="","",IFERROR(J30/I30,""))</f>
        <v/>
      </c>
      <c r="O30" s="9">
        <f>IF($A30="","",IFERROR(K30/J30,""))</f>
        <v/>
      </c>
      <c r="P30" s="11">
        <f>IF($A30="","",IF(H30&gt;0,IFERROR(K30/H30,0),""))</f>
        <v/>
      </c>
      <c r="Q30" s="9">
        <f>IF($A30="","",K30-H30)</f>
        <v/>
      </c>
      <c r="R30" s="3">
        <f>IF($A30="","",IF(H30=0,"",IF(IFERROR(K30/H30,0)&gt;=Settings!$B$6,"SCALE",IF(IFERROR(K30/H30,0)&lt;Settings!$B$7,"CUT","KEEP"))))</f>
        <v/>
      </c>
    </row>
    <row r="31">
      <c r="L31" s="9">
        <f>IF($A31="","",IFERROR(H31/I31,""))</f>
        <v/>
      </c>
      <c r="M31" s="9">
        <f>IF($A31="","",IFERROR(H31/J31,""))</f>
        <v/>
      </c>
      <c r="N31" s="10">
        <f>IF($A31="","",IFERROR(J31/I31,""))</f>
        <v/>
      </c>
      <c r="O31" s="9">
        <f>IF($A31="","",IFERROR(K31/J31,""))</f>
        <v/>
      </c>
      <c r="P31" s="11">
        <f>IF($A31="","",IF(H31&gt;0,IFERROR(K31/H31,0),""))</f>
        <v/>
      </c>
      <c r="Q31" s="9">
        <f>IF($A31="","",K31-H31)</f>
        <v/>
      </c>
      <c r="R31" s="3">
        <f>IF($A31="","",IF(H31=0,"",IF(IFERROR(K31/H31,0)&gt;=Settings!$B$6,"SCALE",IF(IFERROR(K31/H31,0)&lt;Settings!$B$7,"CUT","KEEP"))))</f>
        <v/>
      </c>
    </row>
    <row r="32">
      <c r="L32" s="9">
        <f>IF($A32="","",IFERROR(H32/I32,""))</f>
        <v/>
      </c>
      <c r="M32" s="9">
        <f>IF($A32="","",IFERROR(H32/J32,""))</f>
        <v/>
      </c>
      <c r="N32" s="10">
        <f>IF($A32="","",IFERROR(J32/I32,""))</f>
        <v/>
      </c>
      <c r="O32" s="9">
        <f>IF($A32="","",IFERROR(K32/J32,""))</f>
        <v/>
      </c>
      <c r="P32" s="11">
        <f>IF($A32="","",IF(H32&gt;0,IFERROR(K32/H32,0),""))</f>
        <v/>
      </c>
      <c r="Q32" s="9">
        <f>IF($A32="","",K32-H32)</f>
        <v/>
      </c>
      <c r="R32" s="3">
        <f>IF($A32="","",IF(H32=0,"",IF(IFERROR(K32/H32,0)&gt;=Settings!$B$6,"SCALE",IF(IFERROR(K32/H32,0)&lt;Settings!$B$7,"CUT","KEEP"))))</f>
        <v/>
      </c>
    </row>
    <row r="33">
      <c r="L33" s="9">
        <f>IF($A33="","",IFERROR(H33/I33,""))</f>
        <v/>
      </c>
      <c r="M33" s="9">
        <f>IF($A33="","",IFERROR(H33/J33,""))</f>
        <v/>
      </c>
      <c r="N33" s="10">
        <f>IF($A33="","",IFERROR(J33/I33,""))</f>
        <v/>
      </c>
      <c r="O33" s="9">
        <f>IF($A33="","",IFERROR(K33/J33,""))</f>
        <v/>
      </c>
      <c r="P33" s="11">
        <f>IF($A33="","",IF(H33&gt;0,IFERROR(K33/H33,0),""))</f>
        <v/>
      </c>
      <c r="Q33" s="9">
        <f>IF($A33="","",K33-H33)</f>
        <v/>
      </c>
      <c r="R33" s="3">
        <f>IF($A33="","",IF(H33=0,"",IF(IFERROR(K33/H33,0)&gt;=Settings!$B$6,"SCALE",IF(IFERROR(K33/H33,0)&lt;Settings!$B$7,"CUT","KEEP"))))</f>
        <v/>
      </c>
    </row>
    <row r="34">
      <c r="L34" s="9">
        <f>IF($A34="","",IFERROR(H34/I34,""))</f>
        <v/>
      </c>
      <c r="M34" s="9">
        <f>IF($A34="","",IFERROR(H34/J34,""))</f>
        <v/>
      </c>
      <c r="N34" s="10">
        <f>IF($A34="","",IFERROR(J34/I34,""))</f>
        <v/>
      </c>
      <c r="O34" s="9">
        <f>IF($A34="","",IFERROR(K34/J34,""))</f>
        <v/>
      </c>
      <c r="P34" s="11">
        <f>IF($A34="","",IF(H34&gt;0,IFERROR(K34/H34,0),""))</f>
        <v/>
      </c>
      <c r="Q34" s="9">
        <f>IF($A34="","",K34-H34)</f>
        <v/>
      </c>
      <c r="R34" s="3">
        <f>IF($A34="","",IF(H34=0,"",IF(IFERROR(K34/H34,0)&gt;=Settings!$B$6,"SCALE",IF(IFERROR(K34/H34,0)&lt;Settings!$B$7,"CUT","KEEP"))))</f>
        <v/>
      </c>
    </row>
    <row r="35">
      <c r="L35" s="9">
        <f>IF($A35="","",IFERROR(H35/I35,""))</f>
        <v/>
      </c>
      <c r="M35" s="9">
        <f>IF($A35="","",IFERROR(H35/J35,""))</f>
        <v/>
      </c>
      <c r="N35" s="10">
        <f>IF($A35="","",IFERROR(J35/I35,""))</f>
        <v/>
      </c>
      <c r="O35" s="9">
        <f>IF($A35="","",IFERROR(K35/J35,""))</f>
        <v/>
      </c>
      <c r="P35" s="11">
        <f>IF($A35="","",IF(H35&gt;0,IFERROR(K35/H35,0),""))</f>
        <v/>
      </c>
      <c r="Q35" s="9">
        <f>IF($A35="","",K35-H35)</f>
        <v/>
      </c>
      <c r="R35" s="3">
        <f>IF($A35="","",IF(H35=0,"",IF(IFERROR(K35/H35,0)&gt;=Settings!$B$6,"SCALE",IF(IFERROR(K35/H35,0)&lt;Settings!$B$7,"CUT","KEEP"))))</f>
        <v/>
      </c>
    </row>
    <row r="36">
      <c r="L36" s="9">
        <f>IF($A36="","",IFERROR(H36/I36,""))</f>
        <v/>
      </c>
      <c r="M36" s="9">
        <f>IF($A36="","",IFERROR(H36/J36,""))</f>
        <v/>
      </c>
      <c r="N36" s="10">
        <f>IF($A36="","",IFERROR(J36/I36,""))</f>
        <v/>
      </c>
      <c r="O36" s="9">
        <f>IF($A36="","",IFERROR(K36/J36,""))</f>
        <v/>
      </c>
      <c r="P36" s="11">
        <f>IF($A36="","",IF(H36&gt;0,IFERROR(K36/H36,0),""))</f>
        <v/>
      </c>
      <c r="Q36" s="9">
        <f>IF($A36="","",K36-H36)</f>
        <v/>
      </c>
      <c r="R36" s="3">
        <f>IF($A36="","",IF(H36=0,"",IF(IFERROR(K36/H36,0)&gt;=Settings!$B$6,"SCALE",IF(IFERROR(K36/H36,0)&lt;Settings!$B$7,"CUT","KEEP"))))</f>
        <v/>
      </c>
    </row>
    <row r="37">
      <c r="L37" s="9">
        <f>IF($A37="","",IFERROR(H37/I37,""))</f>
        <v/>
      </c>
      <c r="M37" s="9">
        <f>IF($A37="","",IFERROR(H37/J37,""))</f>
        <v/>
      </c>
      <c r="N37" s="10">
        <f>IF($A37="","",IFERROR(J37/I37,""))</f>
        <v/>
      </c>
      <c r="O37" s="9">
        <f>IF($A37="","",IFERROR(K37/J37,""))</f>
        <v/>
      </c>
      <c r="P37" s="11">
        <f>IF($A37="","",IF(H37&gt;0,IFERROR(K37/H37,0),""))</f>
        <v/>
      </c>
      <c r="Q37" s="9">
        <f>IF($A37="","",K37-H37)</f>
        <v/>
      </c>
      <c r="R37" s="3">
        <f>IF($A37="","",IF(H37=0,"",IF(IFERROR(K37/H37,0)&gt;=Settings!$B$6,"SCALE",IF(IFERROR(K37/H37,0)&lt;Settings!$B$7,"CUT","KEEP"))))</f>
        <v/>
      </c>
    </row>
    <row r="38">
      <c r="L38" s="9">
        <f>IF($A38="","",IFERROR(H38/I38,""))</f>
        <v/>
      </c>
      <c r="M38" s="9">
        <f>IF($A38="","",IFERROR(H38/J38,""))</f>
        <v/>
      </c>
      <c r="N38" s="10">
        <f>IF($A38="","",IFERROR(J38/I38,""))</f>
        <v/>
      </c>
      <c r="O38" s="9">
        <f>IF($A38="","",IFERROR(K38/J38,""))</f>
        <v/>
      </c>
      <c r="P38" s="11">
        <f>IF($A38="","",IF(H38&gt;0,IFERROR(K38/H38,0),""))</f>
        <v/>
      </c>
      <c r="Q38" s="9">
        <f>IF($A38="","",K38-H38)</f>
        <v/>
      </c>
      <c r="R38" s="3">
        <f>IF($A38="","",IF(H38=0,"",IF(IFERROR(K38/H38,0)&gt;=Settings!$B$6,"SCALE",IF(IFERROR(K38/H38,0)&lt;Settings!$B$7,"CUT","KEEP"))))</f>
        <v/>
      </c>
    </row>
    <row r="39">
      <c r="L39" s="9">
        <f>IF($A39="","",IFERROR(H39/I39,""))</f>
        <v/>
      </c>
      <c r="M39" s="9">
        <f>IF($A39="","",IFERROR(H39/J39,""))</f>
        <v/>
      </c>
      <c r="N39" s="10">
        <f>IF($A39="","",IFERROR(J39/I39,""))</f>
        <v/>
      </c>
      <c r="O39" s="9">
        <f>IF($A39="","",IFERROR(K39/J39,""))</f>
        <v/>
      </c>
      <c r="P39" s="11">
        <f>IF($A39="","",IF(H39&gt;0,IFERROR(K39/H39,0),""))</f>
        <v/>
      </c>
      <c r="Q39" s="9">
        <f>IF($A39="","",K39-H39)</f>
        <v/>
      </c>
      <c r="R39" s="3">
        <f>IF($A39="","",IF(H39=0,"",IF(IFERROR(K39/H39,0)&gt;=Settings!$B$6,"SCALE",IF(IFERROR(K39/H39,0)&lt;Settings!$B$7,"CUT","KEEP"))))</f>
        <v/>
      </c>
    </row>
    <row r="40">
      <c r="L40" s="9">
        <f>IF($A40="","",IFERROR(H40/I40,""))</f>
        <v/>
      </c>
      <c r="M40" s="9">
        <f>IF($A40="","",IFERROR(H40/J40,""))</f>
        <v/>
      </c>
      <c r="N40" s="10">
        <f>IF($A40="","",IFERROR(J40/I40,""))</f>
        <v/>
      </c>
      <c r="O40" s="9">
        <f>IF($A40="","",IFERROR(K40/J40,""))</f>
        <v/>
      </c>
      <c r="P40" s="11">
        <f>IF($A40="","",IF(H40&gt;0,IFERROR(K40/H40,0),""))</f>
        <v/>
      </c>
      <c r="Q40" s="9">
        <f>IF($A40="","",K40-H40)</f>
        <v/>
      </c>
      <c r="R40" s="3">
        <f>IF($A40="","",IF(H40=0,"",IF(IFERROR(K40/H40,0)&gt;=Settings!$B$6,"SCALE",IF(IFERROR(K40/H40,0)&lt;Settings!$B$7,"CUT","KEEP"))))</f>
        <v/>
      </c>
    </row>
    <row r="41">
      <c r="L41" s="9">
        <f>IF($A41="","",IFERROR(H41/I41,""))</f>
        <v/>
      </c>
      <c r="M41" s="9">
        <f>IF($A41="","",IFERROR(H41/J41,""))</f>
        <v/>
      </c>
      <c r="N41" s="10">
        <f>IF($A41="","",IFERROR(J41/I41,""))</f>
        <v/>
      </c>
      <c r="O41" s="9">
        <f>IF($A41="","",IFERROR(K41/J41,""))</f>
        <v/>
      </c>
      <c r="P41" s="11">
        <f>IF($A41="","",IF(H41&gt;0,IFERROR(K41/H41,0),""))</f>
        <v/>
      </c>
      <c r="Q41" s="9">
        <f>IF($A41="","",K41-H41)</f>
        <v/>
      </c>
      <c r="R41" s="3">
        <f>IF($A41="","",IF(H41=0,"",IF(IFERROR(K41/H41,0)&gt;=Settings!$B$6,"SCALE",IF(IFERROR(K41/H41,0)&lt;Settings!$B$7,"CUT","KEEP"))))</f>
        <v/>
      </c>
    </row>
    <row r="42">
      <c r="L42" s="9">
        <f>IF($A42="","",IFERROR(H42/I42,""))</f>
        <v/>
      </c>
      <c r="M42" s="9">
        <f>IF($A42="","",IFERROR(H42/J42,""))</f>
        <v/>
      </c>
      <c r="N42" s="10">
        <f>IF($A42="","",IFERROR(J42/I42,""))</f>
        <v/>
      </c>
      <c r="O42" s="9">
        <f>IF($A42="","",IFERROR(K42/J42,""))</f>
        <v/>
      </c>
      <c r="P42" s="11">
        <f>IF($A42="","",IF(H42&gt;0,IFERROR(K42/H42,0),""))</f>
        <v/>
      </c>
      <c r="Q42" s="9">
        <f>IF($A42="","",K42-H42)</f>
        <v/>
      </c>
      <c r="R42" s="3">
        <f>IF($A42="","",IF(H42=0,"",IF(IFERROR(K42/H42,0)&gt;=Settings!$B$6,"SCALE",IF(IFERROR(K42/H42,0)&lt;Settings!$B$7,"CUT","KEEP"))))</f>
        <v/>
      </c>
    </row>
    <row r="43">
      <c r="L43" s="9">
        <f>IF($A43="","",IFERROR(H43/I43,""))</f>
        <v/>
      </c>
      <c r="M43" s="9">
        <f>IF($A43="","",IFERROR(H43/J43,""))</f>
        <v/>
      </c>
      <c r="N43" s="10">
        <f>IF($A43="","",IFERROR(J43/I43,""))</f>
        <v/>
      </c>
      <c r="O43" s="9">
        <f>IF($A43="","",IFERROR(K43/J43,""))</f>
        <v/>
      </c>
      <c r="P43" s="11">
        <f>IF($A43="","",IF(H43&gt;0,IFERROR(K43/H43,0),""))</f>
        <v/>
      </c>
      <c r="Q43" s="9">
        <f>IF($A43="","",K43-H43)</f>
        <v/>
      </c>
      <c r="R43" s="3">
        <f>IF($A43="","",IF(H43=0,"",IF(IFERROR(K43/H43,0)&gt;=Settings!$B$6,"SCALE",IF(IFERROR(K43/H43,0)&lt;Settings!$B$7,"CUT","KEEP"))))</f>
        <v/>
      </c>
    </row>
    <row r="44">
      <c r="L44" s="9">
        <f>IF($A44="","",IFERROR(H44/I44,""))</f>
        <v/>
      </c>
      <c r="M44" s="9">
        <f>IF($A44="","",IFERROR(H44/J44,""))</f>
        <v/>
      </c>
      <c r="N44" s="10">
        <f>IF($A44="","",IFERROR(J44/I44,""))</f>
        <v/>
      </c>
      <c r="O44" s="9">
        <f>IF($A44="","",IFERROR(K44/J44,""))</f>
        <v/>
      </c>
      <c r="P44" s="11">
        <f>IF($A44="","",IF(H44&gt;0,IFERROR(K44/H44,0),""))</f>
        <v/>
      </c>
      <c r="Q44" s="9">
        <f>IF($A44="","",K44-H44)</f>
        <v/>
      </c>
      <c r="R44" s="3">
        <f>IF($A44="","",IF(H44=0,"",IF(IFERROR(K44/H44,0)&gt;=Settings!$B$6,"SCALE",IF(IFERROR(K44/H44,0)&lt;Settings!$B$7,"CUT","KEEP"))))</f>
        <v/>
      </c>
    </row>
    <row r="45">
      <c r="L45" s="9">
        <f>IF($A45="","",IFERROR(H45/I45,""))</f>
        <v/>
      </c>
      <c r="M45" s="9">
        <f>IF($A45="","",IFERROR(H45/J45,""))</f>
        <v/>
      </c>
      <c r="N45" s="10">
        <f>IF($A45="","",IFERROR(J45/I45,""))</f>
        <v/>
      </c>
      <c r="O45" s="9">
        <f>IF($A45="","",IFERROR(K45/J45,""))</f>
        <v/>
      </c>
      <c r="P45" s="11">
        <f>IF($A45="","",IF(H45&gt;0,IFERROR(K45/H45,0),""))</f>
        <v/>
      </c>
      <c r="Q45" s="9">
        <f>IF($A45="","",K45-H45)</f>
        <v/>
      </c>
      <c r="R45" s="3">
        <f>IF($A45="","",IF(H45=0,"",IF(IFERROR(K45/H45,0)&gt;=Settings!$B$6,"SCALE",IF(IFERROR(K45/H45,0)&lt;Settings!$B$7,"CUT","KEEP"))))</f>
        <v/>
      </c>
    </row>
    <row r="46">
      <c r="L46" s="9">
        <f>IF($A46="","",IFERROR(H46/I46,""))</f>
        <v/>
      </c>
      <c r="M46" s="9">
        <f>IF($A46="","",IFERROR(H46/J46,""))</f>
        <v/>
      </c>
      <c r="N46" s="10">
        <f>IF($A46="","",IFERROR(J46/I46,""))</f>
        <v/>
      </c>
      <c r="O46" s="9">
        <f>IF($A46="","",IFERROR(K46/J46,""))</f>
        <v/>
      </c>
      <c r="P46" s="11">
        <f>IF($A46="","",IF(H46&gt;0,IFERROR(K46/H46,0),""))</f>
        <v/>
      </c>
      <c r="Q46" s="9">
        <f>IF($A46="","",K46-H46)</f>
        <v/>
      </c>
      <c r="R46" s="3">
        <f>IF($A46="","",IF(H46=0,"",IF(IFERROR(K46/H46,0)&gt;=Settings!$B$6,"SCALE",IF(IFERROR(K46/H46,0)&lt;Settings!$B$7,"CUT","KEEP"))))</f>
        <v/>
      </c>
    </row>
    <row r="47">
      <c r="L47" s="9">
        <f>IF($A47="","",IFERROR(H47/I47,""))</f>
        <v/>
      </c>
      <c r="M47" s="9">
        <f>IF($A47="","",IFERROR(H47/J47,""))</f>
        <v/>
      </c>
      <c r="N47" s="10">
        <f>IF($A47="","",IFERROR(J47/I47,""))</f>
        <v/>
      </c>
      <c r="O47" s="9">
        <f>IF($A47="","",IFERROR(K47/J47,""))</f>
        <v/>
      </c>
      <c r="P47" s="11">
        <f>IF($A47="","",IF(H47&gt;0,IFERROR(K47/H47,0),""))</f>
        <v/>
      </c>
      <c r="Q47" s="9">
        <f>IF($A47="","",K47-H47)</f>
        <v/>
      </c>
      <c r="R47" s="3">
        <f>IF($A47="","",IF(H47=0,"",IF(IFERROR(K47/H47,0)&gt;=Settings!$B$6,"SCALE",IF(IFERROR(K47/H47,0)&lt;Settings!$B$7,"CUT","KEEP"))))</f>
        <v/>
      </c>
    </row>
    <row r="48">
      <c r="L48" s="9">
        <f>IF($A48="","",IFERROR(H48/I48,""))</f>
        <v/>
      </c>
      <c r="M48" s="9">
        <f>IF($A48="","",IFERROR(H48/J48,""))</f>
        <v/>
      </c>
      <c r="N48" s="10">
        <f>IF($A48="","",IFERROR(J48/I48,""))</f>
        <v/>
      </c>
      <c r="O48" s="9">
        <f>IF($A48="","",IFERROR(K48/J48,""))</f>
        <v/>
      </c>
      <c r="P48" s="11">
        <f>IF($A48="","",IF(H48&gt;0,IFERROR(K48/H48,0),""))</f>
        <v/>
      </c>
      <c r="Q48" s="9">
        <f>IF($A48="","",K48-H48)</f>
        <v/>
      </c>
      <c r="R48" s="3">
        <f>IF($A48="","",IF(H48=0,"",IF(IFERROR(K48/H48,0)&gt;=Settings!$B$6,"SCALE",IF(IFERROR(K48/H48,0)&lt;Settings!$B$7,"CUT","KEEP"))))</f>
        <v/>
      </c>
    </row>
    <row r="49">
      <c r="L49" s="9">
        <f>IF($A49="","",IFERROR(H49/I49,""))</f>
        <v/>
      </c>
      <c r="M49" s="9">
        <f>IF($A49="","",IFERROR(H49/J49,""))</f>
        <v/>
      </c>
      <c r="N49" s="10">
        <f>IF($A49="","",IFERROR(J49/I49,""))</f>
        <v/>
      </c>
      <c r="O49" s="9">
        <f>IF($A49="","",IFERROR(K49/J49,""))</f>
        <v/>
      </c>
      <c r="P49" s="11">
        <f>IF($A49="","",IF(H49&gt;0,IFERROR(K49/H49,0),""))</f>
        <v/>
      </c>
      <c r="Q49" s="9">
        <f>IF($A49="","",K49-H49)</f>
        <v/>
      </c>
      <c r="R49" s="3">
        <f>IF($A49="","",IF(H49=0,"",IF(IFERROR(K49/H49,0)&gt;=Settings!$B$6,"SCALE",IF(IFERROR(K49/H49,0)&lt;Settings!$B$7,"CUT","KEEP"))))</f>
        <v/>
      </c>
    </row>
    <row r="50">
      <c r="L50" s="9">
        <f>IF($A50="","",IFERROR(H50/I50,""))</f>
        <v/>
      </c>
      <c r="M50" s="9">
        <f>IF($A50="","",IFERROR(H50/J50,""))</f>
        <v/>
      </c>
      <c r="N50" s="10">
        <f>IF($A50="","",IFERROR(J50/I50,""))</f>
        <v/>
      </c>
      <c r="O50" s="9">
        <f>IF($A50="","",IFERROR(K50/J50,""))</f>
        <v/>
      </c>
      <c r="P50" s="11">
        <f>IF($A50="","",IF(H50&gt;0,IFERROR(K50/H50,0),""))</f>
        <v/>
      </c>
      <c r="Q50" s="9">
        <f>IF($A50="","",K50-H50)</f>
        <v/>
      </c>
      <c r="R50" s="3">
        <f>IF($A50="","",IF(H50=0,"",IF(IFERROR(K50/H50,0)&gt;=Settings!$B$6,"SCALE",IF(IFERROR(K50/H50,0)&lt;Settings!$B$7,"CUT","KEEP"))))</f>
        <v/>
      </c>
    </row>
    <row r="51">
      <c r="L51" s="9">
        <f>IF($A51="","",IFERROR(H51/I51,""))</f>
        <v/>
      </c>
      <c r="M51" s="9">
        <f>IF($A51="","",IFERROR(H51/J51,""))</f>
        <v/>
      </c>
      <c r="N51" s="10">
        <f>IF($A51="","",IFERROR(J51/I51,""))</f>
        <v/>
      </c>
      <c r="O51" s="9">
        <f>IF($A51="","",IFERROR(K51/J51,""))</f>
        <v/>
      </c>
      <c r="P51" s="11">
        <f>IF($A51="","",IF(H51&gt;0,IFERROR(K51/H51,0),""))</f>
        <v/>
      </c>
      <c r="Q51" s="9">
        <f>IF($A51="","",K51-H51)</f>
        <v/>
      </c>
      <c r="R51" s="3">
        <f>IF($A51="","",IF(H51=0,"",IF(IFERROR(K51/H51,0)&gt;=Settings!$B$6,"SCALE",IF(IFERROR(K51/H51,0)&lt;Settings!$B$7,"CUT","KEEP"))))</f>
        <v/>
      </c>
    </row>
    <row r="52">
      <c r="L52" s="9">
        <f>IF($A52="","",IFERROR(H52/I52,""))</f>
        <v/>
      </c>
      <c r="M52" s="9">
        <f>IF($A52="","",IFERROR(H52/J52,""))</f>
        <v/>
      </c>
      <c r="N52" s="10">
        <f>IF($A52="","",IFERROR(J52/I52,""))</f>
        <v/>
      </c>
      <c r="O52" s="9">
        <f>IF($A52="","",IFERROR(K52/J52,""))</f>
        <v/>
      </c>
      <c r="P52" s="11">
        <f>IF($A52="","",IF(H52&gt;0,IFERROR(K52/H52,0),""))</f>
        <v/>
      </c>
      <c r="Q52" s="9">
        <f>IF($A52="","",K52-H52)</f>
        <v/>
      </c>
      <c r="R52" s="3">
        <f>IF($A52="","",IF(H52=0,"",IF(IFERROR(K52/H52,0)&gt;=Settings!$B$6,"SCALE",IF(IFERROR(K52/H52,0)&lt;Settings!$B$7,"CUT","KEEP"))))</f>
        <v/>
      </c>
    </row>
    <row r="53">
      <c r="L53" s="9">
        <f>IF($A53="","",IFERROR(H53/I53,""))</f>
        <v/>
      </c>
      <c r="M53" s="9">
        <f>IF($A53="","",IFERROR(H53/J53,""))</f>
        <v/>
      </c>
      <c r="N53" s="10">
        <f>IF($A53="","",IFERROR(J53/I53,""))</f>
        <v/>
      </c>
      <c r="O53" s="9">
        <f>IF($A53="","",IFERROR(K53/J53,""))</f>
        <v/>
      </c>
      <c r="P53" s="11">
        <f>IF($A53="","",IF(H53&gt;0,IFERROR(K53/H53,0),""))</f>
        <v/>
      </c>
      <c r="Q53" s="9">
        <f>IF($A53="","",K53-H53)</f>
        <v/>
      </c>
      <c r="R53" s="3">
        <f>IF($A53="","",IF(H53=0,"",IF(IFERROR(K53/H53,0)&gt;=Settings!$B$6,"SCALE",IF(IFERROR(K53/H53,0)&lt;Settings!$B$7,"CUT","KEEP"))))</f>
        <v/>
      </c>
    </row>
    <row r="54">
      <c r="L54" s="9">
        <f>IF($A54="","",IFERROR(H54/I54,""))</f>
        <v/>
      </c>
      <c r="M54" s="9">
        <f>IF($A54="","",IFERROR(H54/J54,""))</f>
        <v/>
      </c>
      <c r="N54" s="10">
        <f>IF($A54="","",IFERROR(J54/I54,""))</f>
        <v/>
      </c>
      <c r="O54" s="9">
        <f>IF($A54="","",IFERROR(K54/J54,""))</f>
        <v/>
      </c>
      <c r="P54" s="11">
        <f>IF($A54="","",IF(H54&gt;0,IFERROR(K54/H54,0),""))</f>
        <v/>
      </c>
      <c r="Q54" s="9">
        <f>IF($A54="","",K54-H54)</f>
        <v/>
      </c>
      <c r="R54" s="3">
        <f>IF($A54="","",IF(H54=0,"",IF(IFERROR(K54/H54,0)&gt;=Settings!$B$6,"SCALE",IF(IFERROR(K54/H54,0)&lt;Settings!$B$7,"CUT","KEEP"))))</f>
        <v/>
      </c>
    </row>
    <row r="55">
      <c r="L55" s="9">
        <f>IF($A55="","",IFERROR(H55/I55,""))</f>
        <v/>
      </c>
      <c r="M55" s="9">
        <f>IF($A55="","",IFERROR(H55/J55,""))</f>
        <v/>
      </c>
      <c r="N55" s="10">
        <f>IF($A55="","",IFERROR(J55/I55,""))</f>
        <v/>
      </c>
      <c r="O55" s="9">
        <f>IF($A55="","",IFERROR(K55/J55,""))</f>
        <v/>
      </c>
      <c r="P55" s="11">
        <f>IF($A55="","",IF(H55&gt;0,IFERROR(K55/H55,0),""))</f>
        <v/>
      </c>
      <c r="Q55" s="9">
        <f>IF($A55="","",K55-H55)</f>
        <v/>
      </c>
      <c r="R55" s="3">
        <f>IF($A55="","",IF(H55=0,"",IF(IFERROR(K55/H55,0)&gt;=Settings!$B$6,"SCALE",IF(IFERROR(K55/H55,0)&lt;Settings!$B$7,"CUT","KEEP"))))</f>
        <v/>
      </c>
    </row>
    <row r="56">
      <c r="L56" s="9">
        <f>IF($A56="","",IFERROR(H56/I56,""))</f>
        <v/>
      </c>
      <c r="M56" s="9">
        <f>IF($A56="","",IFERROR(H56/J56,""))</f>
        <v/>
      </c>
      <c r="N56" s="10">
        <f>IF($A56="","",IFERROR(J56/I56,""))</f>
        <v/>
      </c>
      <c r="O56" s="9">
        <f>IF($A56="","",IFERROR(K56/J56,""))</f>
        <v/>
      </c>
      <c r="P56" s="11">
        <f>IF($A56="","",IF(H56&gt;0,IFERROR(K56/H56,0),""))</f>
        <v/>
      </c>
      <c r="Q56" s="9">
        <f>IF($A56="","",K56-H56)</f>
        <v/>
      </c>
      <c r="R56" s="3">
        <f>IF($A56="","",IF(H56=0,"",IF(IFERROR(K56/H56,0)&gt;=Settings!$B$6,"SCALE",IF(IFERROR(K56/H56,0)&lt;Settings!$B$7,"CUT","KEEP"))))</f>
        <v/>
      </c>
    </row>
    <row r="57">
      <c r="L57" s="9">
        <f>IF($A57="","",IFERROR(H57/I57,""))</f>
        <v/>
      </c>
      <c r="M57" s="9">
        <f>IF($A57="","",IFERROR(H57/J57,""))</f>
        <v/>
      </c>
      <c r="N57" s="10">
        <f>IF($A57="","",IFERROR(J57/I57,""))</f>
        <v/>
      </c>
      <c r="O57" s="9">
        <f>IF($A57="","",IFERROR(K57/J57,""))</f>
        <v/>
      </c>
      <c r="P57" s="11">
        <f>IF($A57="","",IF(H57&gt;0,IFERROR(K57/H57,0),""))</f>
        <v/>
      </c>
      <c r="Q57" s="9">
        <f>IF($A57="","",K57-H57)</f>
        <v/>
      </c>
      <c r="R57" s="3">
        <f>IF($A57="","",IF(H57=0,"",IF(IFERROR(K57/H57,0)&gt;=Settings!$B$6,"SCALE",IF(IFERROR(K57/H57,0)&lt;Settings!$B$7,"CUT","KEEP"))))</f>
        <v/>
      </c>
    </row>
    <row r="58">
      <c r="L58" s="9">
        <f>IF($A58="","",IFERROR(H58/I58,""))</f>
        <v/>
      </c>
      <c r="M58" s="9">
        <f>IF($A58="","",IFERROR(H58/J58,""))</f>
        <v/>
      </c>
      <c r="N58" s="10">
        <f>IF($A58="","",IFERROR(J58/I58,""))</f>
        <v/>
      </c>
      <c r="O58" s="9">
        <f>IF($A58="","",IFERROR(K58/J58,""))</f>
        <v/>
      </c>
      <c r="P58" s="11">
        <f>IF($A58="","",IF(H58&gt;0,IFERROR(K58/H58,0),""))</f>
        <v/>
      </c>
      <c r="Q58" s="9">
        <f>IF($A58="","",K58-H58)</f>
        <v/>
      </c>
      <c r="R58" s="3">
        <f>IF($A58="","",IF(H58=0,"",IF(IFERROR(K58/H58,0)&gt;=Settings!$B$6,"SCALE",IF(IFERROR(K58/H58,0)&lt;Settings!$B$7,"CUT","KEEP"))))</f>
        <v/>
      </c>
    </row>
    <row r="59">
      <c r="L59" s="9">
        <f>IF($A59="","",IFERROR(H59/I59,""))</f>
        <v/>
      </c>
      <c r="M59" s="9">
        <f>IF($A59="","",IFERROR(H59/J59,""))</f>
        <v/>
      </c>
      <c r="N59" s="10">
        <f>IF($A59="","",IFERROR(J59/I59,""))</f>
        <v/>
      </c>
      <c r="O59" s="9">
        <f>IF($A59="","",IFERROR(K59/J59,""))</f>
        <v/>
      </c>
      <c r="P59" s="11">
        <f>IF($A59="","",IF(H59&gt;0,IFERROR(K59/H59,0),""))</f>
        <v/>
      </c>
      <c r="Q59" s="9">
        <f>IF($A59="","",K59-H59)</f>
        <v/>
      </c>
      <c r="R59" s="3">
        <f>IF($A59="","",IF(H59=0,"",IF(IFERROR(K59/H59,0)&gt;=Settings!$B$6,"SCALE",IF(IFERROR(K59/H59,0)&lt;Settings!$B$7,"CUT","KEEP"))))</f>
        <v/>
      </c>
    </row>
    <row r="60">
      <c r="L60" s="9">
        <f>IF($A60="","",IFERROR(H60/I60,""))</f>
        <v/>
      </c>
      <c r="M60" s="9">
        <f>IF($A60="","",IFERROR(H60/J60,""))</f>
        <v/>
      </c>
      <c r="N60" s="10">
        <f>IF($A60="","",IFERROR(J60/I60,""))</f>
        <v/>
      </c>
      <c r="O60" s="9">
        <f>IF($A60="","",IFERROR(K60/J60,""))</f>
        <v/>
      </c>
      <c r="P60" s="11">
        <f>IF($A60="","",IF(H60&gt;0,IFERROR(K60/H60,0),""))</f>
        <v/>
      </c>
      <c r="Q60" s="9">
        <f>IF($A60="","",K60-H60)</f>
        <v/>
      </c>
      <c r="R60" s="3">
        <f>IF($A60="","",IF(H60=0,"",IF(IFERROR(K60/H60,0)&gt;=Settings!$B$6,"SCALE",IF(IFERROR(K60/H60,0)&lt;Settings!$B$7,"CUT","KEEP"))))</f>
        <v/>
      </c>
    </row>
    <row r="61">
      <c r="L61" s="9">
        <f>IF($A61="","",IFERROR(H61/I61,""))</f>
        <v/>
      </c>
      <c r="M61" s="9">
        <f>IF($A61="","",IFERROR(H61/J61,""))</f>
        <v/>
      </c>
      <c r="N61" s="10">
        <f>IF($A61="","",IFERROR(J61/I61,""))</f>
        <v/>
      </c>
      <c r="O61" s="9">
        <f>IF($A61="","",IFERROR(K61/J61,""))</f>
        <v/>
      </c>
      <c r="P61" s="11">
        <f>IF($A61="","",IF(H61&gt;0,IFERROR(K61/H61,0),""))</f>
        <v/>
      </c>
      <c r="Q61" s="9">
        <f>IF($A61="","",K61-H61)</f>
        <v/>
      </c>
      <c r="R61" s="3">
        <f>IF($A61="","",IF(H61=0,"",IF(IFERROR(K61/H61,0)&gt;=Settings!$B$6,"SCALE",IF(IFERROR(K61/H61,0)&lt;Settings!$B$7,"CUT","KEEP"))))</f>
        <v/>
      </c>
    </row>
    <row r="62">
      <c r="L62" s="9">
        <f>IF($A62="","",IFERROR(H62/I62,""))</f>
        <v/>
      </c>
      <c r="M62" s="9">
        <f>IF($A62="","",IFERROR(H62/J62,""))</f>
        <v/>
      </c>
      <c r="N62" s="10">
        <f>IF($A62="","",IFERROR(J62/I62,""))</f>
        <v/>
      </c>
      <c r="O62" s="9">
        <f>IF($A62="","",IFERROR(K62/J62,""))</f>
        <v/>
      </c>
      <c r="P62" s="11">
        <f>IF($A62="","",IF(H62&gt;0,IFERROR(K62/H62,0),""))</f>
        <v/>
      </c>
      <c r="Q62" s="9">
        <f>IF($A62="","",K62-H62)</f>
        <v/>
      </c>
      <c r="R62" s="3">
        <f>IF($A62="","",IF(H62=0,"",IF(IFERROR(K62/H62,0)&gt;=Settings!$B$6,"SCALE",IF(IFERROR(K62/H62,0)&lt;Settings!$B$7,"CUT","KEEP"))))</f>
        <v/>
      </c>
    </row>
    <row r="63">
      <c r="L63" s="9">
        <f>IF($A63="","",IFERROR(H63/I63,""))</f>
        <v/>
      </c>
      <c r="M63" s="9">
        <f>IF($A63="","",IFERROR(H63/J63,""))</f>
        <v/>
      </c>
      <c r="N63" s="10">
        <f>IF($A63="","",IFERROR(J63/I63,""))</f>
        <v/>
      </c>
      <c r="O63" s="9">
        <f>IF($A63="","",IFERROR(K63/J63,""))</f>
        <v/>
      </c>
      <c r="P63" s="11">
        <f>IF($A63="","",IF(H63&gt;0,IFERROR(K63/H63,0),""))</f>
        <v/>
      </c>
      <c r="Q63" s="9">
        <f>IF($A63="","",K63-H63)</f>
        <v/>
      </c>
      <c r="R63" s="3">
        <f>IF($A63="","",IF(H63=0,"",IF(IFERROR(K63/H63,0)&gt;=Settings!$B$6,"SCALE",IF(IFERROR(K63/H63,0)&lt;Settings!$B$7,"CUT","KEEP"))))</f>
        <v/>
      </c>
    </row>
    <row r="64">
      <c r="L64" s="9">
        <f>IF($A64="","",IFERROR(H64/I64,""))</f>
        <v/>
      </c>
      <c r="M64" s="9">
        <f>IF($A64="","",IFERROR(H64/J64,""))</f>
        <v/>
      </c>
      <c r="N64" s="10">
        <f>IF($A64="","",IFERROR(J64/I64,""))</f>
        <v/>
      </c>
      <c r="O64" s="9">
        <f>IF($A64="","",IFERROR(K64/J64,""))</f>
        <v/>
      </c>
      <c r="P64" s="11">
        <f>IF($A64="","",IF(H64&gt;0,IFERROR(K64/H64,0),""))</f>
        <v/>
      </c>
      <c r="Q64" s="9">
        <f>IF($A64="","",K64-H64)</f>
        <v/>
      </c>
      <c r="R64" s="3">
        <f>IF($A64="","",IF(H64=0,"",IF(IFERROR(K64/H64,0)&gt;=Settings!$B$6,"SCALE",IF(IFERROR(K64/H64,0)&lt;Settings!$B$7,"CUT","KEEP"))))</f>
        <v/>
      </c>
    </row>
    <row r="65">
      <c r="L65" s="9">
        <f>IF($A65="","",IFERROR(H65/I65,""))</f>
        <v/>
      </c>
      <c r="M65" s="9">
        <f>IF($A65="","",IFERROR(H65/J65,""))</f>
        <v/>
      </c>
      <c r="N65" s="10">
        <f>IF($A65="","",IFERROR(J65/I65,""))</f>
        <v/>
      </c>
      <c r="O65" s="9">
        <f>IF($A65="","",IFERROR(K65/J65,""))</f>
        <v/>
      </c>
      <c r="P65" s="11">
        <f>IF($A65="","",IF(H65&gt;0,IFERROR(K65/H65,0),""))</f>
        <v/>
      </c>
      <c r="Q65" s="9">
        <f>IF($A65="","",K65-H65)</f>
        <v/>
      </c>
      <c r="R65" s="3">
        <f>IF($A65="","",IF(H65=0,"",IF(IFERROR(K65/H65,0)&gt;=Settings!$B$6,"SCALE",IF(IFERROR(K65/H65,0)&lt;Settings!$B$7,"CUT","KEEP"))))</f>
        <v/>
      </c>
    </row>
    <row r="66">
      <c r="L66" s="9">
        <f>IF($A66="","",IFERROR(H66/I66,""))</f>
        <v/>
      </c>
      <c r="M66" s="9">
        <f>IF($A66="","",IFERROR(H66/J66,""))</f>
        <v/>
      </c>
      <c r="N66" s="10">
        <f>IF($A66="","",IFERROR(J66/I66,""))</f>
        <v/>
      </c>
      <c r="O66" s="9">
        <f>IF($A66="","",IFERROR(K66/J66,""))</f>
        <v/>
      </c>
      <c r="P66" s="11">
        <f>IF($A66="","",IF(H66&gt;0,IFERROR(K66/H66,0),""))</f>
        <v/>
      </c>
      <c r="Q66" s="9">
        <f>IF($A66="","",K66-H66)</f>
        <v/>
      </c>
      <c r="R66" s="3">
        <f>IF($A66="","",IF(H66=0,"",IF(IFERROR(K66/H66,0)&gt;=Settings!$B$6,"SCALE",IF(IFERROR(K66/H66,0)&lt;Settings!$B$7,"CUT","KEEP"))))</f>
        <v/>
      </c>
    </row>
    <row r="67">
      <c r="L67" s="9">
        <f>IF($A67="","",IFERROR(H67/I67,""))</f>
        <v/>
      </c>
      <c r="M67" s="9">
        <f>IF($A67="","",IFERROR(H67/J67,""))</f>
        <v/>
      </c>
      <c r="N67" s="10">
        <f>IF($A67="","",IFERROR(J67/I67,""))</f>
        <v/>
      </c>
      <c r="O67" s="9">
        <f>IF($A67="","",IFERROR(K67/J67,""))</f>
        <v/>
      </c>
      <c r="P67" s="11">
        <f>IF($A67="","",IF(H67&gt;0,IFERROR(K67/H67,0),""))</f>
        <v/>
      </c>
      <c r="Q67" s="9">
        <f>IF($A67="","",K67-H67)</f>
        <v/>
      </c>
      <c r="R67" s="3">
        <f>IF($A67="","",IF(H67=0,"",IF(IFERROR(K67/H67,0)&gt;=Settings!$B$6,"SCALE",IF(IFERROR(K67/H67,0)&lt;Settings!$B$7,"CUT","KEEP"))))</f>
        <v/>
      </c>
    </row>
    <row r="68">
      <c r="L68" s="9">
        <f>IF($A68="","",IFERROR(H68/I68,""))</f>
        <v/>
      </c>
      <c r="M68" s="9">
        <f>IF($A68="","",IFERROR(H68/J68,""))</f>
        <v/>
      </c>
      <c r="N68" s="10">
        <f>IF($A68="","",IFERROR(J68/I68,""))</f>
        <v/>
      </c>
      <c r="O68" s="9">
        <f>IF($A68="","",IFERROR(K68/J68,""))</f>
        <v/>
      </c>
      <c r="P68" s="11">
        <f>IF($A68="","",IF(H68&gt;0,IFERROR(K68/H68,0),""))</f>
        <v/>
      </c>
      <c r="Q68" s="9">
        <f>IF($A68="","",K68-H68)</f>
        <v/>
      </c>
      <c r="R68" s="3">
        <f>IF($A68="","",IF(H68=0,"",IF(IFERROR(K68/H68,0)&gt;=Settings!$B$6,"SCALE",IF(IFERROR(K68/H68,0)&lt;Settings!$B$7,"CUT","KEEP"))))</f>
        <v/>
      </c>
    </row>
    <row r="69">
      <c r="L69" s="9">
        <f>IF($A69="","",IFERROR(H69/I69,""))</f>
        <v/>
      </c>
      <c r="M69" s="9">
        <f>IF($A69="","",IFERROR(H69/J69,""))</f>
        <v/>
      </c>
      <c r="N69" s="10">
        <f>IF($A69="","",IFERROR(J69/I69,""))</f>
        <v/>
      </c>
      <c r="O69" s="9">
        <f>IF($A69="","",IFERROR(K69/J69,""))</f>
        <v/>
      </c>
      <c r="P69" s="11">
        <f>IF($A69="","",IF(H69&gt;0,IFERROR(K69/H69,0),""))</f>
        <v/>
      </c>
      <c r="Q69" s="9">
        <f>IF($A69="","",K69-H69)</f>
        <v/>
      </c>
      <c r="R69" s="3">
        <f>IF($A69="","",IF(H69=0,"",IF(IFERROR(K69/H69,0)&gt;=Settings!$B$6,"SCALE",IF(IFERROR(K69/H69,0)&lt;Settings!$B$7,"CUT","KEEP"))))</f>
        <v/>
      </c>
    </row>
    <row r="70">
      <c r="L70" s="9">
        <f>IF($A70="","",IFERROR(H70/I70,""))</f>
        <v/>
      </c>
      <c r="M70" s="9">
        <f>IF($A70="","",IFERROR(H70/J70,""))</f>
        <v/>
      </c>
      <c r="N70" s="10">
        <f>IF($A70="","",IFERROR(J70/I70,""))</f>
        <v/>
      </c>
      <c r="O70" s="9">
        <f>IF($A70="","",IFERROR(K70/J70,""))</f>
        <v/>
      </c>
      <c r="P70" s="11">
        <f>IF($A70="","",IF(H70&gt;0,IFERROR(K70/H70,0),""))</f>
        <v/>
      </c>
      <c r="Q70" s="9">
        <f>IF($A70="","",K70-H70)</f>
        <v/>
      </c>
      <c r="R70" s="3">
        <f>IF($A70="","",IF(H70=0,"",IF(IFERROR(K70/H70,0)&gt;=Settings!$B$6,"SCALE",IF(IFERROR(K70/H70,0)&lt;Settings!$B$7,"CUT","KEEP"))))</f>
        <v/>
      </c>
    </row>
    <row r="71">
      <c r="L71" s="9">
        <f>IF($A71="","",IFERROR(H71/I71,""))</f>
        <v/>
      </c>
      <c r="M71" s="9">
        <f>IF($A71="","",IFERROR(H71/J71,""))</f>
        <v/>
      </c>
      <c r="N71" s="10">
        <f>IF($A71="","",IFERROR(J71/I71,""))</f>
        <v/>
      </c>
      <c r="O71" s="9">
        <f>IF($A71="","",IFERROR(K71/J71,""))</f>
        <v/>
      </c>
      <c r="P71" s="11">
        <f>IF($A71="","",IF(H71&gt;0,IFERROR(K71/H71,0),""))</f>
        <v/>
      </c>
      <c r="Q71" s="9">
        <f>IF($A71="","",K71-H71)</f>
        <v/>
      </c>
      <c r="R71" s="3">
        <f>IF($A71="","",IF(H71=0,"",IF(IFERROR(K71/H71,0)&gt;=Settings!$B$6,"SCALE",IF(IFERROR(K71/H71,0)&lt;Settings!$B$7,"CUT","KEEP"))))</f>
        <v/>
      </c>
    </row>
    <row r="72">
      <c r="L72" s="9">
        <f>IF($A72="","",IFERROR(H72/I72,""))</f>
        <v/>
      </c>
      <c r="M72" s="9">
        <f>IF($A72="","",IFERROR(H72/J72,""))</f>
        <v/>
      </c>
      <c r="N72" s="10">
        <f>IF($A72="","",IFERROR(J72/I72,""))</f>
        <v/>
      </c>
      <c r="O72" s="9">
        <f>IF($A72="","",IFERROR(K72/J72,""))</f>
        <v/>
      </c>
      <c r="P72" s="11">
        <f>IF($A72="","",IF(H72&gt;0,IFERROR(K72/H72,0),""))</f>
        <v/>
      </c>
      <c r="Q72" s="9">
        <f>IF($A72="","",K72-H72)</f>
        <v/>
      </c>
      <c r="R72" s="3">
        <f>IF($A72="","",IF(H72=0,"",IF(IFERROR(K72/H72,0)&gt;=Settings!$B$6,"SCALE",IF(IFERROR(K72/H72,0)&lt;Settings!$B$7,"CUT","KEEP"))))</f>
        <v/>
      </c>
    </row>
    <row r="73">
      <c r="L73" s="9">
        <f>IF($A73="","",IFERROR(H73/I73,""))</f>
        <v/>
      </c>
      <c r="M73" s="9">
        <f>IF($A73="","",IFERROR(H73/J73,""))</f>
        <v/>
      </c>
      <c r="N73" s="10">
        <f>IF($A73="","",IFERROR(J73/I73,""))</f>
        <v/>
      </c>
      <c r="O73" s="9">
        <f>IF($A73="","",IFERROR(K73/J73,""))</f>
        <v/>
      </c>
      <c r="P73" s="11">
        <f>IF($A73="","",IF(H73&gt;0,IFERROR(K73/H73,0),""))</f>
        <v/>
      </c>
      <c r="Q73" s="9">
        <f>IF($A73="","",K73-H73)</f>
        <v/>
      </c>
      <c r="R73" s="3">
        <f>IF($A73="","",IF(H73=0,"",IF(IFERROR(K73/H73,0)&gt;=Settings!$B$6,"SCALE",IF(IFERROR(K73/H73,0)&lt;Settings!$B$7,"CUT","KEEP"))))</f>
        <v/>
      </c>
    </row>
    <row r="74">
      <c r="L74" s="9">
        <f>IF($A74="","",IFERROR(H74/I74,""))</f>
        <v/>
      </c>
      <c r="M74" s="9">
        <f>IF($A74="","",IFERROR(H74/J74,""))</f>
        <v/>
      </c>
      <c r="N74" s="10">
        <f>IF($A74="","",IFERROR(J74/I74,""))</f>
        <v/>
      </c>
      <c r="O74" s="9">
        <f>IF($A74="","",IFERROR(K74/J74,""))</f>
        <v/>
      </c>
      <c r="P74" s="11">
        <f>IF($A74="","",IF(H74&gt;0,IFERROR(K74/H74,0),""))</f>
        <v/>
      </c>
      <c r="Q74" s="9">
        <f>IF($A74="","",K74-H74)</f>
        <v/>
      </c>
      <c r="R74" s="3">
        <f>IF($A74="","",IF(H74=0,"",IF(IFERROR(K74/H74,0)&gt;=Settings!$B$6,"SCALE",IF(IFERROR(K74/H74,0)&lt;Settings!$B$7,"CUT","KEEP"))))</f>
        <v/>
      </c>
    </row>
    <row r="75">
      <c r="L75" s="9">
        <f>IF($A75="","",IFERROR(H75/I75,""))</f>
        <v/>
      </c>
      <c r="M75" s="9">
        <f>IF($A75="","",IFERROR(H75/J75,""))</f>
        <v/>
      </c>
      <c r="N75" s="10">
        <f>IF($A75="","",IFERROR(J75/I75,""))</f>
        <v/>
      </c>
      <c r="O75" s="9">
        <f>IF($A75="","",IFERROR(K75/J75,""))</f>
        <v/>
      </c>
      <c r="P75" s="11">
        <f>IF($A75="","",IF(H75&gt;0,IFERROR(K75/H75,0),""))</f>
        <v/>
      </c>
      <c r="Q75" s="9">
        <f>IF($A75="","",K75-H75)</f>
        <v/>
      </c>
      <c r="R75" s="3">
        <f>IF($A75="","",IF(H75=0,"",IF(IFERROR(K75/H75,0)&gt;=Settings!$B$6,"SCALE",IF(IFERROR(K75/H75,0)&lt;Settings!$B$7,"CUT","KEEP"))))</f>
        <v/>
      </c>
    </row>
    <row r="76">
      <c r="L76" s="9">
        <f>IF($A76="","",IFERROR(H76/I76,""))</f>
        <v/>
      </c>
      <c r="M76" s="9">
        <f>IF($A76="","",IFERROR(H76/J76,""))</f>
        <v/>
      </c>
      <c r="N76" s="10">
        <f>IF($A76="","",IFERROR(J76/I76,""))</f>
        <v/>
      </c>
      <c r="O76" s="9">
        <f>IF($A76="","",IFERROR(K76/J76,""))</f>
        <v/>
      </c>
      <c r="P76" s="11">
        <f>IF($A76="","",IF(H76&gt;0,IFERROR(K76/H76,0),""))</f>
        <v/>
      </c>
      <c r="Q76" s="9">
        <f>IF($A76="","",K76-H76)</f>
        <v/>
      </c>
      <c r="R76" s="3">
        <f>IF($A76="","",IF(H76=0,"",IF(IFERROR(K76/H76,0)&gt;=Settings!$B$6,"SCALE",IF(IFERROR(K76/H76,0)&lt;Settings!$B$7,"CUT","KEEP"))))</f>
        <v/>
      </c>
    </row>
    <row r="77">
      <c r="L77" s="9">
        <f>IF($A77="","",IFERROR(H77/I77,""))</f>
        <v/>
      </c>
      <c r="M77" s="9">
        <f>IF($A77="","",IFERROR(H77/J77,""))</f>
        <v/>
      </c>
      <c r="N77" s="10">
        <f>IF($A77="","",IFERROR(J77/I77,""))</f>
        <v/>
      </c>
      <c r="O77" s="9">
        <f>IF($A77="","",IFERROR(K77/J77,""))</f>
        <v/>
      </c>
      <c r="P77" s="11">
        <f>IF($A77="","",IF(H77&gt;0,IFERROR(K77/H77,0),""))</f>
        <v/>
      </c>
      <c r="Q77" s="9">
        <f>IF($A77="","",K77-H77)</f>
        <v/>
      </c>
      <c r="R77" s="3">
        <f>IF($A77="","",IF(H77=0,"",IF(IFERROR(K77/H77,0)&gt;=Settings!$B$6,"SCALE",IF(IFERROR(K77/H77,0)&lt;Settings!$B$7,"CUT","KEEP"))))</f>
        <v/>
      </c>
    </row>
    <row r="78">
      <c r="L78" s="9">
        <f>IF($A78="","",IFERROR(H78/I78,""))</f>
        <v/>
      </c>
      <c r="M78" s="9">
        <f>IF($A78="","",IFERROR(H78/J78,""))</f>
        <v/>
      </c>
      <c r="N78" s="10">
        <f>IF($A78="","",IFERROR(J78/I78,""))</f>
        <v/>
      </c>
      <c r="O78" s="9">
        <f>IF($A78="","",IFERROR(K78/J78,""))</f>
        <v/>
      </c>
      <c r="P78" s="11">
        <f>IF($A78="","",IF(H78&gt;0,IFERROR(K78/H78,0),""))</f>
        <v/>
      </c>
      <c r="Q78" s="9">
        <f>IF($A78="","",K78-H78)</f>
        <v/>
      </c>
      <c r="R78" s="3">
        <f>IF($A78="","",IF(H78=0,"",IF(IFERROR(K78/H78,0)&gt;=Settings!$B$6,"SCALE",IF(IFERROR(K78/H78,0)&lt;Settings!$B$7,"CUT","KEEP"))))</f>
        <v/>
      </c>
    </row>
    <row r="79">
      <c r="L79" s="9">
        <f>IF($A79="","",IFERROR(H79/I79,""))</f>
        <v/>
      </c>
      <c r="M79" s="9">
        <f>IF($A79="","",IFERROR(H79/J79,""))</f>
        <v/>
      </c>
      <c r="N79" s="10">
        <f>IF($A79="","",IFERROR(J79/I79,""))</f>
        <v/>
      </c>
      <c r="O79" s="9">
        <f>IF($A79="","",IFERROR(K79/J79,""))</f>
        <v/>
      </c>
      <c r="P79" s="11">
        <f>IF($A79="","",IF(H79&gt;0,IFERROR(K79/H79,0),""))</f>
        <v/>
      </c>
      <c r="Q79" s="9">
        <f>IF($A79="","",K79-H79)</f>
        <v/>
      </c>
      <c r="R79" s="3">
        <f>IF($A79="","",IF(H79=0,"",IF(IFERROR(K79/H79,0)&gt;=Settings!$B$6,"SCALE",IF(IFERROR(K79/H79,0)&lt;Settings!$B$7,"CUT","KEEP"))))</f>
        <v/>
      </c>
    </row>
    <row r="80">
      <c r="L80" s="9">
        <f>IF($A80="","",IFERROR(H80/I80,""))</f>
        <v/>
      </c>
      <c r="M80" s="9">
        <f>IF($A80="","",IFERROR(H80/J80,""))</f>
        <v/>
      </c>
      <c r="N80" s="10">
        <f>IF($A80="","",IFERROR(J80/I80,""))</f>
        <v/>
      </c>
      <c r="O80" s="9">
        <f>IF($A80="","",IFERROR(K80/J80,""))</f>
        <v/>
      </c>
      <c r="P80" s="11">
        <f>IF($A80="","",IF(H80&gt;0,IFERROR(K80/H80,0),""))</f>
        <v/>
      </c>
      <c r="Q80" s="9">
        <f>IF($A80="","",K80-H80)</f>
        <v/>
      </c>
      <c r="R80" s="3">
        <f>IF($A80="","",IF(H80=0,"",IF(IFERROR(K80/H80,0)&gt;=Settings!$B$6,"SCALE",IF(IFERROR(K80/H80,0)&lt;Settings!$B$7,"CUT","KEEP"))))</f>
        <v/>
      </c>
    </row>
    <row r="81">
      <c r="L81" s="9">
        <f>IF($A81="","",IFERROR(H81/I81,""))</f>
        <v/>
      </c>
      <c r="M81" s="9">
        <f>IF($A81="","",IFERROR(H81/J81,""))</f>
        <v/>
      </c>
      <c r="N81" s="10">
        <f>IF($A81="","",IFERROR(J81/I81,""))</f>
        <v/>
      </c>
      <c r="O81" s="9">
        <f>IF($A81="","",IFERROR(K81/J81,""))</f>
        <v/>
      </c>
      <c r="P81" s="11">
        <f>IF($A81="","",IF(H81&gt;0,IFERROR(K81/H81,0),""))</f>
        <v/>
      </c>
      <c r="Q81" s="9">
        <f>IF($A81="","",K81-H81)</f>
        <v/>
      </c>
      <c r="R81" s="3">
        <f>IF($A81="","",IF(H81=0,"",IF(IFERROR(K81/H81,0)&gt;=Settings!$B$6,"SCALE",IF(IFERROR(K81/H81,0)&lt;Settings!$B$7,"CUT","KEEP"))))</f>
        <v/>
      </c>
    </row>
    <row r="82">
      <c r="L82" s="9">
        <f>IF($A82="","",IFERROR(H82/I82,""))</f>
        <v/>
      </c>
      <c r="M82" s="9">
        <f>IF($A82="","",IFERROR(H82/J82,""))</f>
        <v/>
      </c>
      <c r="N82" s="10">
        <f>IF($A82="","",IFERROR(J82/I82,""))</f>
        <v/>
      </c>
      <c r="O82" s="9">
        <f>IF($A82="","",IFERROR(K82/J82,""))</f>
        <v/>
      </c>
      <c r="P82" s="11">
        <f>IF($A82="","",IF(H82&gt;0,IFERROR(K82/H82,0),""))</f>
        <v/>
      </c>
      <c r="Q82" s="9">
        <f>IF($A82="","",K82-H82)</f>
        <v/>
      </c>
      <c r="R82" s="3">
        <f>IF($A82="","",IF(H82=0,"",IF(IFERROR(K82/H82,0)&gt;=Settings!$B$6,"SCALE",IF(IFERROR(K82/H82,0)&lt;Settings!$B$7,"CUT","KEEP"))))</f>
        <v/>
      </c>
    </row>
    <row r="83">
      <c r="L83" s="9">
        <f>IF($A83="","",IFERROR(H83/I83,""))</f>
        <v/>
      </c>
      <c r="M83" s="9">
        <f>IF($A83="","",IFERROR(H83/J83,""))</f>
        <v/>
      </c>
      <c r="N83" s="10">
        <f>IF($A83="","",IFERROR(J83/I83,""))</f>
        <v/>
      </c>
      <c r="O83" s="9">
        <f>IF($A83="","",IFERROR(K83/J83,""))</f>
        <v/>
      </c>
      <c r="P83" s="11">
        <f>IF($A83="","",IF(H83&gt;0,IFERROR(K83/H83,0),""))</f>
        <v/>
      </c>
      <c r="Q83" s="9">
        <f>IF($A83="","",K83-H83)</f>
        <v/>
      </c>
      <c r="R83" s="3">
        <f>IF($A83="","",IF(H83=0,"",IF(IFERROR(K83/H83,0)&gt;=Settings!$B$6,"SCALE",IF(IFERROR(K83/H83,0)&lt;Settings!$B$7,"CUT","KEEP"))))</f>
        <v/>
      </c>
    </row>
    <row r="84">
      <c r="L84" s="9">
        <f>IF($A84="","",IFERROR(H84/I84,""))</f>
        <v/>
      </c>
      <c r="M84" s="9">
        <f>IF($A84="","",IFERROR(H84/J84,""))</f>
        <v/>
      </c>
      <c r="N84" s="10">
        <f>IF($A84="","",IFERROR(J84/I84,""))</f>
        <v/>
      </c>
      <c r="O84" s="9">
        <f>IF($A84="","",IFERROR(K84/J84,""))</f>
        <v/>
      </c>
      <c r="P84" s="11">
        <f>IF($A84="","",IF(H84&gt;0,IFERROR(K84/H84,0),""))</f>
        <v/>
      </c>
      <c r="Q84" s="9">
        <f>IF($A84="","",K84-H84)</f>
        <v/>
      </c>
      <c r="R84" s="3">
        <f>IF($A84="","",IF(H84=0,"",IF(IFERROR(K84/H84,0)&gt;=Settings!$B$6,"SCALE",IF(IFERROR(K84/H84,0)&lt;Settings!$B$7,"CUT","KEEP"))))</f>
        <v/>
      </c>
    </row>
    <row r="85">
      <c r="L85" s="9">
        <f>IF($A85="","",IFERROR(H85/I85,""))</f>
        <v/>
      </c>
      <c r="M85" s="9">
        <f>IF($A85="","",IFERROR(H85/J85,""))</f>
        <v/>
      </c>
      <c r="N85" s="10">
        <f>IF($A85="","",IFERROR(J85/I85,""))</f>
        <v/>
      </c>
      <c r="O85" s="9">
        <f>IF($A85="","",IFERROR(K85/J85,""))</f>
        <v/>
      </c>
      <c r="P85" s="11">
        <f>IF($A85="","",IF(H85&gt;0,IFERROR(K85/H85,0),""))</f>
        <v/>
      </c>
      <c r="Q85" s="9">
        <f>IF($A85="","",K85-H85)</f>
        <v/>
      </c>
      <c r="R85" s="3">
        <f>IF($A85="","",IF(H85=0,"",IF(IFERROR(K85/H85,0)&gt;=Settings!$B$6,"SCALE",IF(IFERROR(K85/H85,0)&lt;Settings!$B$7,"CUT","KEEP"))))</f>
        <v/>
      </c>
    </row>
    <row r="86">
      <c r="L86" s="9">
        <f>IF($A86="","",IFERROR(H86/I86,""))</f>
        <v/>
      </c>
      <c r="M86" s="9">
        <f>IF($A86="","",IFERROR(H86/J86,""))</f>
        <v/>
      </c>
      <c r="N86" s="10">
        <f>IF($A86="","",IFERROR(J86/I86,""))</f>
        <v/>
      </c>
      <c r="O86" s="9">
        <f>IF($A86="","",IFERROR(K86/J86,""))</f>
        <v/>
      </c>
      <c r="P86" s="11">
        <f>IF($A86="","",IF(H86&gt;0,IFERROR(K86/H86,0),""))</f>
        <v/>
      </c>
      <c r="Q86" s="9">
        <f>IF($A86="","",K86-H86)</f>
        <v/>
      </c>
      <c r="R86" s="3">
        <f>IF($A86="","",IF(H86=0,"",IF(IFERROR(K86/H86,0)&gt;=Settings!$B$6,"SCALE",IF(IFERROR(K86/H86,0)&lt;Settings!$B$7,"CUT","KEEP"))))</f>
        <v/>
      </c>
    </row>
    <row r="87">
      <c r="L87" s="9">
        <f>IF($A87="","",IFERROR(H87/I87,""))</f>
        <v/>
      </c>
      <c r="M87" s="9">
        <f>IF($A87="","",IFERROR(H87/J87,""))</f>
        <v/>
      </c>
      <c r="N87" s="10">
        <f>IF($A87="","",IFERROR(J87/I87,""))</f>
        <v/>
      </c>
      <c r="O87" s="9">
        <f>IF($A87="","",IFERROR(K87/J87,""))</f>
        <v/>
      </c>
      <c r="P87" s="11">
        <f>IF($A87="","",IF(H87&gt;0,IFERROR(K87/H87,0),""))</f>
        <v/>
      </c>
      <c r="Q87" s="9">
        <f>IF($A87="","",K87-H87)</f>
        <v/>
      </c>
      <c r="R87" s="3">
        <f>IF($A87="","",IF(H87=0,"",IF(IFERROR(K87/H87,0)&gt;=Settings!$B$6,"SCALE",IF(IFERROR(K87/H87,0)&lt;Settings!$B$7,"CUT","KEEP"))))</f>
        <v/>
      </c>
    </row>
    <row r="88">
      <c r="L88" s="9">
        <f>IF($A88="","",IFERROR(H88/I88,""))</f>
        <v/>
      </c>
      <c r="M88" s="9">
        <f>IF($A88="","",IFERROR(H88/J88,""))</f>
        <v/>
      </c>
      <c r="N88" s="10">
        <f>IF($A88="","",IFERROR(J88/I88,""))</f>
        <v/>
      </c>
      <c r="O88" s="9">
        <f>IF($A88="","",IFERROR(K88/J88,""))</f>
        <v/>
      </c>
      <c r="P88" s="11">
        <f>IF($A88="","",IF(H88&gt;0,IFERROR(K88/H88,0),""))</f>
        <v/>
      </c>
      <c r="Q88" s="9">
        <f>IF($A88="","",K88-H88)</f>
        <v/>
      </c>
      <c r="R88" s="3">
        <f>IF($A88="","",IF(H88=0,"",IF(IFERROR(K88/H88,0)&gt;=Settings!$B$6,"SCALE",IF(IFERROR(K88/H88,0)&lt;Settings!$B$7,"CUT","KEEP"))))</f>
        <v/>
      </c>
    </row>
    <row r="89">
      <c r="L89" s="9">
        <f>IF($A89="","",IFERROR(H89/I89,""))</f>
        <v/>
      </c>
      <c r="M89" s="9">
        <f>IF($A89="","",IFERROR(H89/J89,""))</f>
        <v/>
      </c>
      <c r="N89" s="10">
        <f>IF($A89="","",IFERROR(J89/I89,""))</f>
        <v/>
      </c>
      <c r="O89" s="9">
        <f>IF($A89="","",IFERROR(K89/J89,""))</f>
        <v/>
      </c>
      <c r="P89" s="11">
        <f>IF($A89="","",IF(H89&gt;0,IFERROR(K89/H89,0),""))</f>
        <v/>
      </c>
      <c r="Q89" s="9">
        <f>IF($A89="","",K89-H89)</f>
        <v/>
      </c>
      <c r="R89" s="3">
        <f>IF($A89="","",IF(H89=0,"",IF(IFERROR(K89/H89,0)&gt;=Settings!$B$6,"SCALE",IF(IFERROR(K89/H89,0)&lt;Settings!$B$7,"CUT","KEEP"))))</f>
        <v/>
      </c>
    </row>
    <row r="90">
      <c r="L90" s="9">
        <f>IF($A90="","",IFERROR(H90/I90,""))</f>
        <v/>
      </c>
      <c r="M90" s="9">
        <f>IF($A90="","",IFERROR(H90/J90,""))</f>
        <v/>
      </c>
      <c r="N90" s="10">
        <f>IF($A90="","",IFERROR(J90/I90,""))</f>
        <v/>
      </c>
      <c r="O90" s="9">
        <f>IF($A90="","",IFERROR(K90/J90,""))</f>
        <v/>
      </c>
      <c r="P90" s="11">
        <f>IF($A90="","",IF(H90&gt;0,IFERROR(K90/H90,0),""))</f>
        <v/>
      </c>
      <c r="Q90" s="9">
        <f>IF($A90="","",K90-H90)</f>
        <v/>
      </c>
      <c r="R90" s="3">
        <f>IF($A90="","",IF(H90=0,"",IF(IFERROR(K90/H90,0)&gt;=Settings!$B$6,"SCALE",IF(IFERROR(K90/H90,0)&lt;Settings!$B$7,"CUT","KEEP"))))</f>
        <v/>
      </c>
    </row>
    <row r="91">
      <c r="L91" s="9">
        <f>IF($A91="","",IFERROR(H91/I91,""))</f>
        <v/>
      </c>
      <c r="M91" s="9">
        <f>IF($A91="","",IFERROR(H91/J91,""))</f>
        <v/>
      </c>
      <c r="N91" s="10">
        <f>IF($A91="","",IFERROR(J91/I91,""))</f>
        <v/>
      </c>
      <c r="O91" s="9">
        <f>IF($A91="","",IFERROR(K91/J91,""))</f>
        <v/>
      </c>
      <c r="P91" s="11">
        <f>IF($A91="","",IF(H91&gt;0,IFERROR(K91/H91,0),""))</f>
        <v/>
      </c>
      <c r="Q91" s="9">
        <f>IF($A91="","",K91-H91)</f>
        <v/>
      </c>
      <c r="R91" s="3">
        <f>IF($A91="","",IF(H91=0,"",IF(IFERROR(K91/H91,0)&gt;=Settings!$B$6,"SCALE",IF(IFERROR(K91/H91,0)&lt;Settings!$B$7,"CUT","KEEP"))))</f>
        <v/>
      </c>
    </row>
    <row r="92">
      <c r="L92" s="9">
        <f>IF($A92="","",IFERROR(H92/I92,""))</f>
        <v/>
      </c>
      <c r="M92" s="9">
        <f>IF($A92="","",IFERROR(H92/J92,""))</f>
        <v/>
      </c>
      <c r="N92" s="10">
        <f>IF($A92="","",IFERROR(J92/I92,""))</f>
        <v/>
      </c>
      <c r="O92" s="9">
        <f>IF($A92="","",IFERROR(K92/J92,""))</f>
        <v/>
      </c>
      <c r="P92" s="11">
        <f>IF($A92="","",IF(H92&gt;0,IFERROR(K92/H92,0),""))</f>
        <v/>
      </c>
      <c r="Q92" s="9">
        <f>IF($A92="","",K92-H92)</f>
        <v/>
      </c>
      <c r="R92" s="3">
        <f>IF($A92="","",IF(H92=0,"",IF(IFERROR(K92/H92,0)&gt;=Settings!$B$6,"SCALE",IF(IFERROR(K92/H92,0)&lt;Settings!$B$7,"CUT","KEEP"))))</f>
        <v/>
      </c>
    </row>
    <row r="93">
      <c r="L93" s="9">
        <f>IF($A93="","",IFERROR(H93/I93,""))</f>
        <v/>
      </c>
      <c r="M93" s="9">
        <f>IF($A93="","",IFERROR(H93/J93,""))</f>
        <v/>
      </c>
      <c r="N93" s="10">
        <f>IF($A93="","",IFERROR(J93/I93,""))</f>
        <v/>
      </c>
      <c r="O93" s="9">
        <f>IF($A93="","",IFERROR(K93/J93,""))</f>
        <v/>
      </c>
      <c r="P93" s="11">
        <f>IF($A93="","",IF(H93&gt;0,IFERROR(K93/H93,0),""))</f>
        <v/>
      </c>
      <c r="Q93" s="9">
        <f>IF($A93="","",K93-H93)</f>
        <v/>
      </c>
      <c r="R93" s="3">
        <f>IF($A93="","",IF(H93=0,"",IF(IFERROR(K93/H93,0)&gt;=Settings!$B$6,"SCALE",IF(IFERROR(K93/H93,0)&lt;Settings!$B$7,"CUT","KEEP"))))</f>
        <v/>
      </c>
    </row>
    <row r="94">
      <c r="L94" s="9">
        <f>IF($A94="","",IFERROR(H94/I94,""))</f>
        <v/>
      </c>
      <c r="M94" s="9">
        <f>IF($A94="","",IFERROR(H94/J94,""))</f>
        <v/>
      </c>
      <c r="N94" s="10">
        <f>IF($A94="","",IFERROR(J94/I94,""))</f>
        <v/>
      </c>
      <c r="O94" s="9">
        <f>IF($A94="","",IFERROR(K94/J94,""))</f>
        <v/>
      </c>
      <c r="P94" s="11">
        <f>IF($A94="","",IF(H94&gt;0,IFERROR(K94/H94,0),""))</f>
        <v/>
      </c>
      <c r="Q94" s="9">
        <f>IF($A94="","",K94-H94)</f>
        <v/>
      </c>
      <c r="R94" s="3">
        <f>IF($A94="","",IF(H94=0,"",IF(IFERROR(K94/H94,0)&gt;=Settings!$B$6,"SCALE",IF(IFERROR(K94/H94,0)&lt;Settings!$B$7,"CUT","KEEP"))))</f>
        <v/>
      </c>
    </row>
    <row r="95">
      <c r="L95" s="9">
        <f>IF($A95="","",IFERROR(H95/I95,""))</f>
        <v/>
      </c>
      <c r="M95" s="9">
        <f>IF($A95="","",IFERROR(H95/J95,""))</f>
        <v/>
      </c>
      <c r="N95" s="10">
        <f>IF($A95="","",IFERROR(J95/I95,""))</f>
        <v/>
      </c>
      <c r="O95" s="9">
        <f>IF($A95="","",IFERROR(K95/J95,""))</f>
        <v/>
      </c>
      <c r="P95" s="11">
        <f>IF($A95="","",IF(H95&gt;0,IFERROR(K95/H95,0),""))</f>
        <v/>
      </c>
      <c r="Q95" s="9">
        <f>IF($A95="","",K95-H95)</f>
        <v/>
      </c>
      <c r="R95" s="3">
        <f>IF($A95="","",IF(H95=0,"",IF(IFERROR(K95/H95,0)&gt;=Settings!$B$6,"SCALE",IF(IFERROR(K95/H95,0)&lt;Settings!$B$7,"CUT","KEEP"))))</f>
        <v/>
      </c>
    </row>
    <row r="96">
      <c r="L96" s="9">
        <f>IF($A96="","",IFERROR(H96/I96,""))</f>
        <v/>
      </c>
      <c r="M96" s="9">
        <f>IF($A96="","",IFERROR(H96/J96,""))</f>
        <v/>
      </c>
      <c r="N96" s="10">
        <f>IF($A96="","",IFERROR(J96/I96,""))</f>
        <v/>
      </c>
      <c r="O96" s="9">
        <f>IF($A96="","",IFERROR(K96/J96,""))</f>
        <v/>
      </c>
      <c r="P96" s="11">
        <f>IF($A96="","",IF(H96&gt;0,IFERROR(K96/H96,0),""))</f>
        <v/>
      </c>
      <c r="Q96" s="9">
        <f>IF($A96="","",K96-H96)</f>
        <v/>
      </c>
      <c r="R96" s="3">
        <f>IF($A96="","",IF(H96=0,"",IF(IFERROR(K96/H96,0)&gt;=Settings!$B$6,"SCALE",IF(IFERROR(K96/H96,0)&lt;Settings!$B$7,"CUT","KEEP"))))</f>
        <v/>
      </c>
    </row>
    <row r="97">
      <c r="L97" s="9">
        <f>IF($A97="","",IFERROR(H97/I97,""))</f>
        <v/>
      </c>
      <c r="M97" s="9">
        <f>IF($A97="","",IFERROR(H97/J97,""))</f>
        <v/>
      </c>
      <c r="N97" s="10">
        <f>IF($A97="","",IFERROR(J97/I97,""))</f>
        <v/>
      </c>
      <c r="O97" s="9">
        <f>IF($A97="","",IFERROR(K97/J97,""))</f>
        <v/>
      </c>
      <c r="P97" s="11">
        <f>IF($A97="","",IF(H97&gt;0,IFERROR(K97/H97,0),""))</f>
        <v/>
      </c>
      <c r="Q97" s="9">
        <f>IF($A97="","",K97-H97)</f>
        <v/>
      </c>
      <c r="R97" s="3">
        <f>IF($A97="","",IF(H97=0,"",IF(IFERROR(K97/H97,0)&gt;=Settings!$B$6,"SCALE",IF(IFERROR(K97/H97,0)&lt;Settings!$B$7,"CUT","KEEP"))))</f>
        <v/>
      </c>
    </row>
    <row r="98">
      <c r="L98" s="9">
        <f>IF($A98="","",IFERROR(H98/I98,""))</f>
        <v/>
      </c>
      <c r="M98" s="9">
        <f>IF($A98="","",IFERROR(H98/J98,""))</f>
        <v/>
      </c>
      <c r="N98" s="10">
        <f>IF($A98="","",IFERROR(J98/I98,""))</f>
        <v/>
      </c>
      <c r="O98" s="9">
        <f>IF($A98="","",IFERROR(K98/J98,""))</f>
        <v/>
      </c>
      <c r="P98" s="11">
        <f>IF($A98="","",IF(H98&gt;0,IFERROR(K98/H98,0),""))</f>
        <v/>
      </c>
      <c r="Q98" s="9">
        <f>IF($A98="","",K98-H98)</f>
        <v/>
      </c>
      <c r="R98" s="3">
        <f>IF($A98="","",IF(H98=0,"",IF(IFERROR(K98/H98,0)&gt;=Settings!$B$6,"SCALE",IF(IFERROR(K98/H98,0)&lt;Settings!$B$7,"CUT","KEEP"))))</f>
        <v/>
      </c>
    </row>
    <row r="99">
      <c r="L99" s="9">
        <f>IF($A99="","",IFERROR(H99/I99,""))</f>
        <v/>
      </c>
      <c r="M99" s="9">
        <f>IF($A99="","",IFERROR(H99/J99,""))</f>
        <v/>
      </c>
      <c r="N99" s="10">
        <f>IF($A99="","",IFERROR(J99/I99,""))</f>
        <v/>
      </c>
      <c r="O99" s="9">
        <f>IF($A99="","",IFERROR(K99/J99,""))</f>
        <v/>
      </c>
      <c r="P99" s="11">
        <f>IF($A99="","",IF(H99&gt;0,IFERROR(K99/H99,0),""))</f>
        <v/>
      </c>
      <c r="Q99" s="9">
        <f>IF($A99="","",K99-H99)</f>
        <v/>
      </c>
      <c r="R99" s="3">
        <f>IF($A99="","",IF(H99=0,"",IF(IFERROR(K99/H99,0)&gt;=Settings!$B$6,"SCALE",IF(IFERROR(K99/H99,0)&lt;Settings!$B$7,"CUT","KEEP"))))</f>
        <v/>
      </c>
    </row>
    <row r="100">
      <c r="L100" s="9">
        <f>IF($A100="","",IFERROR(H100/I100,""))</f>
        <v/>
      </c>
      <c r="M100" s="9">
        <f>IF($A100="","",IFERROR(H100/J100,""))</f>
        <v/>
      </c>
      <c r="N100" s="10">
        <f>IF($A100="","",IFERROR(J100/I100,""))</f>
        <v/>
      </c>
      <c r="O100" s="9">
        <f>IF($A100="","",IFERROR(K100/J100,""))</f>
        <v/>
      </c>
      <c r="P100" s="11">
        <f>IF($A100="","",IF(H100&gt;0,IFERROR(K100/H100,0),""))</f>
        <v/>
      </c>
      <c r="Q100" s="9">
        <f>IF($A100="","",K100-H100)</f>
        <v/>
      </c>
      <c r="R100" s="3">
        <f>IF($A100="","",IF(H100=0,"",IF(IFERROR(K100/H100,0)&gt;=Settings!$B$6,"SCALE",IF(IFERROR(K100/H100,0)&lt;Settings!$B$7,"CUT","KEEP"))))</f>
        <v/>
      </c>
    </row>
    <row r="101">
      <c r="L101" s="9">
        <f>IF($A101="","",IFERROR(H101/I101,""))</f>
        <v/>
      </c>
      <c r="M101" s="9">
        <f>IF($A101="","",IFERROR(H101/J101,""))</f>
        <v/>
      </c>
      <c r="N101" s="10">
        <f>IF($A101="","",IFERROR(J101/I101,""))</f>
        <v/>
      </c>
      <c r="O101" s="9">
        <f>IF($A101="","",IFERROR(K101/J101,""))</f>
        <v/>
      </c>
      <c r="P101" s="11">
        <f>IF($A101="","",IF(H101&gt;0,IFERROR(K101/H101,0),""))</f>
        <v/>
      </c>
      <c r="Q101" s="9">
        <f>IF($A101="","",K101-H101)</f>
        <v/>
      </c>
      <c r="R101" s="3">
        <f>IF($A101="","",IF(H101=0,"",IF(IFERROR(K101/H101,0)&gt;=Settings!$B$6,"SCALE",IF(IFERROR(K101/H101,0)&lt;Settings!$B$7,"CUT","KEEP"))))</f>
        <v/>
      </c>
    </row>
  </sheetData>
  <conditionalFormatting sqref="R2:R101">
    <cfRule type="cellIs" priority="1" operator="equal" dxfId="0">
      <formula>"SCALE"</formula>
    </cfRule>
    <cfRule type="cellIs" priority="2" operator="equal" dxfId="1">
      <formula>"KEEP"</formula>
    </cfRule>
    <cfRule type="cellIs" priority="3" operator="equal" dxfId="2">
      <formula>"CUT"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4" max="4"/>
  </cols>
  <sheetData>
    <row r="1">
      <c r="A1" s="1" t="inlineStr">
        <is>
          <t>SPLIT TESTS</t>
        </is>
      </c>
    </row>
    <row r="3">
      <c r="A3" s="2" t="inlineStr">
        <is>
          <t>Type a variant →</t>
        </is>
      </c>
      <c r="B3" s="12" t="inlineStr">
        <is>
          <t>marissa-pic-a</t>
        </is>
      </c>
      <c r="D3" s="2" t="inlineStr">
        <is>
          <t>ALL VARIANTS</t>
        </is>
      </c>
    </row>
    <row r="4">
      <c r="A4" s="2" t="inlineStr">
        <is>
          <t>Spend</t>
        </is>
      </c>
      <c r="B4" s="9">
        <f>SUMIF('Daily Log'!$F:$F,$B$3,'Daily Log'!$H:$H)</f>
        <v/>
      </c>
      <c r="D4" s="5" t="inlineStr">
        <is>
          <t>Variant</t>
        </is>
      </c>
      <c r="E4" s="5" t="inlineStr">
        <is>
          <t>Creator</t>
        </is>
      </c>
      <c r="F4" s="5" t="inlineStr">
        <is>
          <t>Spend</t>
        </is>
      </c>
      <c r="G4" s="5" t="inlineStr">
        <is>
          <t>Clicks</t>
        </is>
      </c>
      <c r="H4" s="5" t="inlineStr">
        <is>
          <t>New Fans</t>
        </is>
      </c>
      <c r="I4" s="5" t="inlineStr">
        <is>
          <t>Revenue</t>
        </is>
      </c>
      <c r="J4" s="5" t="inlineStr">
        <is>
          <t>CAC</t>
        </is>
      </c>
      <c r="K4" s="5" t="inlineStr">
        <is>
          <t>ROAS</t>
        </is>
      </c>
      <c r="L4" s="5" t="inlineStr">
        <is>
          <t>Profit</t>
        </is>
      </c>
      <c r="M4" s="5" t="inlineStr">
        <is>
          <t>Verdict</t>
        </is>
      </c>
    </row>
    <row r="5">
      <c r="A5" s="2" t="inlineStr">
        <is>
          <t>Clicks</t>
        </is>
      </c>
      <c r="B5" s="3">
        <f>SUMIF('Daily Log'!$F:$F,$B$3,'Daily Log'!$I:$I)</f>
        <v/>
      </c>
      <c r="D5" s="3" t="inlineStr">
        <is>
          <t>marissa-pic-a</t>
        </is>
      </c>
      <c r="E5" s="3">
        <f>IFERROR(INDEX('Daily Log'!$C:$C,MATCH(D5,'Daily Log'!$F:$F,0)),"")</f>
        <v/>
      </c>
      <c r="F5" s="9">
        <f>SUMIF('Daily Log'!$F:$F,D5,'Daily Log'!$H:$H)</f>
        <v/>
      </c>
      <c r="G5" s="3">
        <f>SUMIF('Daily Log'!$F:$F,D5,'Daily Log'!$I:$I)</f>
        <v/>
      </c>
      <c r="H5" s="3">
        <f>SUMIF('Daily Log'!$F:$F,D5,'Daily Log'!$J:$J)</f>
        <v/>
      </c>
      <c r="I5" s="9">
        <f>SUMIF('Daily Log'!$F:$F,D5,'Daily Log'!$K:$K)</f>
        <v/>
      </c>
      <c r="J5" s="9">
        <f>IFERROR(F5/H5,"")</f>
        <v/>
      </c>
      <c r="K5" s="11">
        <f>IFERROR(I5/F5,"")</f>
        <v/>
      </c>
      <c r="L5" s="9">
        <f>I5-F5</f>
        <v/>
      </c>
      <c r="M5" s="3">
        <f>IF(F5=0,"",IF(K5&gt;=Settings!$B$6,"SCALE",IF(K5&lt;Settings!$B$7,"CUT","KEEP")))</f>
        <v/>
      </c>
    </row>
    <row r="6">
      <c r="A6" s="2" t="inlineStr">
        <is>
          <t>New Fans</t>
        </is>
      </c>
      <c r="B6" s="3">
        <f>SUMIF('Daily Log'!$F:$F,$B$3,'Daily Log'!$J:$J)</f>
        <v/>
      </c>
      <c r="D6" s="3" t="inlineStr">
        <is>
          <t>marissa-pic-b</t>
        </is>
      </c>
      <c r="E6" s="3">
        <f>IFERROR(INDEX('Daily Log'!$C:$C,MATCH(D6,'Daily Log'!$F:$F,0)),"")</f>
        <v/>
      </c>
      <c r="F6" s="9">
        <f>SUMIF('Daily Log'!$F:$F,D6,'Daily Log'!$H:$H)</f>
        <v/>
      </c>
      <c r="G6" s="3">
        <f>SUMIF('Daily Log'!$F:$F,D6,'Daily Log'!$I:$I)</f>
        <v/>
      </c>
      <c r="H6" s="3">
        <f>SUMIF('Daily Log'!$F:$F,D6,'Daily Log'!$J:$J)</f>
        <v/>
      </c>
      <c r="I6" s="9">
        <f>SUMIF('Daily Log'!$F:$F,D6,'Daily Log'!$K:$K)</f>
        <v/>
      </c>
      <c r="J6" s="9">
        <f>IFERROR(F6/H6,"")</f>
        <v/>
      </c>
      <c r="K6" s="11">
        <f>IFERROR(I6/F6,"")</f>
        <v/>
      </c>
      <c r="L6" s="9">
        <f>I6-F6</f>
        <v/>
      </c>
      <c r="M6" s="3">
        <f>IF(F6=0,"",IF(K6&gt;=Settings!$B$6,"SCALE",IF(K6&lt;Settings!$B$7,"CUT","KEEP")))</f>
        <v/>
      </c>
    </row>
    <row r="7">
      <c r="A7" s="2" t="inlineStr">
        <is>
          <t>Revenue</t>
        </is>
      </c>
      <c r="B7" s="9">
        <f>SUMIF('Daily Log'!$F:$F,$B$3,'Daily Log'!$K:$K)</f>
        <v/>
      </c>
      <c r="D7" s="3" t="inlineStr">
        <is>
          <t>emma-hook-shy</t>
        </is>
      </c>
      <c r="E7" s="3">
        <f>IFERROR(INDEX('Daily Log'!$C:$C,MATCH(D7,'Daily Log'!$F:$F,0)),"")</f>
        <v/>
      </c>
      <c r="F7" s="9">
        <f>SUMIF('Daily Log'!$F:$F,D7,'Daily Log'!$H:$H)</f>
        <v/>
      </c>
      <c r="G7" s="3">
        <f>SUMIF('Daily Log'!$F:$F,D7,'Daily Log'!$I:$I)</f>
        <v/>
      </c>
      <c r="H7" s="3">
        <f>SUMIF('Daily Log'!$F:$F,D7,'Daily Log'!$J:$J)</f>
        <v/>
      </c>
      <c r="I7" s="9">
        <f>SUMIF('Daily Log'!$F:$F,D7,'Daily Log'!$K:$K)</f>
        <v/>
      </c>
      <c r="J7" s="9">
        <f>IFERROR(F7/H7,"")</f>
        <v/>
      </c>
      <c r="K7" s="11">
        <f>IFERROR(I7/F7,"")</f>
        <v/>
      </c>
      <c r="L7" s="9">
        <f>I7-F7</f>
        <v/>
      </c>
      <c r="M7" s="3">
        <f>IF(F7=0,"",IF(K7&gt;=Settings!$B$6,"SCALE",IF(K7&lt;Settings!$B$7,"CUT","KEEP")))</f>
        <v/>
      </c>
    </row>
    <row r="8">
      <c r="A8" s="2" t="inlineStr">
        <is>
          <t>CPC</t>
        </is>
      </c>
      <c r="B8" s="9">
        <f>IFERROR(B4/B5,"")</f>
        <v/>
      </c>
      <c r="D8" s="3" t="inlineStr">
        <is>
          <t>emma-hook-bold</t>
        </is>
      </c>
      <c r="E8" s="3">
        <f>IFERROR(INDEX('Daily Log'!$C:$C,MATCH(D8,'Daily Log'!$F:$F,0)),"")</f>
        <v/>
      </c>
      <c r="F8" s="9">
        <f>SUMIF('Daily Log'!$F:$F,D8,'Daily Log'!$H:$H)</f>
        <v/>
      </c>
      <c r="G8" s="3">
        <f>SUMIF('Daily Log'!$F:$F,D8,'Daily Log'!$I:$I)</f>
        <v/>
      </c>
      <c r="H8" s="3">
        <f>SUMIF('Daily Log'!$F:$F,D8,'Daily Log'!$J:$J)</f>
        <v/>
      </c>
      <c r="I8" s="9">
        <f>SUMIF('Daily Log'!$F:$F,D8,'Daily Log'!$K:$K)</f>
        <v/>
      </c>
      <c r="J8" s="9">
        <f>IFERROR(F8/H8,"")</f>
        <v/>
      </c>
      <c r="K8" s="11">
        <f>IFERROR(I8/F8,"")</f>
        <v/>
      </c>
      <c r="L8" s="9">
        <f>I8-F8</f>
        <v/>
      </c>
      <c r="M8" s="3">
        <f>IF(F8=0,"",IF(K8&gt;=Settings!$B$6,"SCALE",IF(K8&lt;Settings!$B$7,"CUT","KEEP")))</f>
        <v/>
      </c>
    </row>
    <row r="9">
      <c r="A9" s="2" t="inlineStr">
        <is>
          <t>CAC</t>
        </is>
      </c>
      <c r="B9" s="9">
        <f>IFERROR(B4/B6,"")</f>
        <v/>
      </c>
      <c r="D9" s="3" t="inlineStr">
        <is>
          <t>maylee-gym</t>
        </is>
      </c>
      <c r="E9" s="3">
        <f>IFERROR(INDEX('Daily Log'!$C:$C,MATCH(D9,'Daily Log'!$F:$F,0)),"")</f>
        <v/>
      </c>
      <c r="F9" s="9">
        <f>SUMIF('Daily Log'!$F:$F,D9,'Daily Log'!$H:$H)</f>
        <v/>
      </c>
      <c r="G9" s="3">
        <f>SUMIF('Daily Log'!$F:$F,D9,'Daily Log'!$I:$I)</f>
        <v/>
      </c>
      <c r="H9" s="3">
        <f>SUMIF('Daily Log'!$F:$F,D9,'Daily Log'!$J:$J)</f>
        <v/>
      </c>
      <c r="I9" s="9">
        <f>SUMIF('Daily Log'!$F:$F,D9,'Daily Log'!$K:$K)</f>
        <v/>
      </c>
      <c r="J9" s="9">
        <f>IFERROR(F9/H9,"")</f>
        <v/>
      </c>
      <c r="K9" s="11">
        <f>IFERROR(I9/F9,"")</f>
        <v/>
      </c>
      <c r="L9" s="9">
        <f>I9-F9</f>
        <v/>
      </c>
      <c r="M9" s="3">
        <f>IF(F9=0,"",IF(K9&gt;=Settings!$B$6,"SCALE",IF(K9&lt;Settings!$B$7,"CUT","KEEP")))</f>
        <v/>
      </c>
    </row>
    <row r="10">
      <c r="A10" s="2" t="inlineStr">
        <is>
          <t>Click→Sub %</t>
        </is>
      </c>
      <c r="B10" s="10">
        <f>IFERROR(B6/B5,"")</f>
        <v/>
      </c>
      <c r="D10" s="3" t="inlineStr">
        <is>
          <t>maylee-beach</t>
        </is>
      </c>
      <c r="E10" s="3">
        <f>IFERROR(INDEX('Daily Log'!$C:$C,MATCH(D10,'Daily Log'!$F:$F,0)),"")</f>
        <v/>
      </c>
      <c r="F10" s="9">
        <f>SUMIF('Daily Log'!$F:$F,D10,'Daily Log'!$H:$H)</f>
        <v/>
      </c>
      <c r="G10" s="3">
        <f>SUMIF('Daily Log'!$F:$F,D10,'Daily Log'!$I:$I)</f>
        <v/>
      </c>
      <c r="H10" s="3">
        <f>SUMIF('Daily Log'!$F:$F,D10,'Daily Log'!$J:$J)</f>
        <v/>
      </c>
      <c r="I10" s="9">
        <f>SUMIF('Daily Log'!$F:$F,D10,'Daily Log'!$K:$K)</f>
        <v/>
      </c>
      <c r="J10" s="9">
        <f>IFERROR(F10/H10,"")</f>
        <v/>
      </c>
      <c r="K10" s="11">
        <f>IFERROR(I10/F10,"")</f>
        <v/>
      </c>
      <c r="L10" s="9">
        <f>I10-F10</f>
        <v/>
      </c>
      <c r="M10" s="3">
        <f>IF(F10=0,"",IF(K10&gt;=Settings!$B$6,"SCALE",IF(K10&lt;Settings!$B$7,"CUT","KEEP")))</f>
        <v/>
      </c>
    </row>
    <row r="11">
      <c r="A11" s="2" t="inlineStr">
        <is>
          <t>LTV</t>
        </is>
      </c>
      <c r="B11" s="9">
        <f>IFERROR(B7/B6,"")</f>
        <v/>
      </c>
    </row>
    <row r="12">
      <c r="A12" s="2" t="inlineStr">
        <is>
          <t>ROAS</t>
        </is>
      </c>
      <c r="B12" s="11">
        <f>IFERROR(B7/B4,"")</f>
        <v/>
      </c>
    </row>
    <row r="13">
      <c r="A13" s="2" t="inlineStr">
        <is>
          <t>Profit</t>
        </is>
      </c>
      <c r="B13" s="9">
        <f>B7-B4</f>
        <v/>
      </c>
    </row>
    <row r="14">
      <c r="A14" s="2" t="inlineStr">
        <is>
          <t>Verdict</t>
        </is>
      </c>
      <c r="B14" s="3">
        <f>IF(B4=0,"no data for that variant",IF(B12&gt;=Settings!$B$6,"SCALE — more of this",IF(B12&lt;Settings!$B$7,"CUT — less of this","KEEP")))</f>
        <v/>
      </c>
    </row>
  </sheetData>
  <conditionalFormatting sqref="M5:M10">
    <cfRule type="cellIs" priority="1" operator="equal" dxfId="0">
      <formula>"SCALE"</formula>
    </cfRule>
    <cfRule type="cellIs" priority="2" operator="equal" dxfId="1">
      <formula>"KEEP"</formula>
    </cfRule>
    <cfRule type="cellIs" priority="3" operator="equal" dxfId="2">
      <formula>"CUT"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CREATOR DASHBOARD</t>
        </is>
      </c>
    </row>
    <row r="2">
      <c r="A2" s="5" t="inlineStr">
        <is>
          <t>Creator</t>
        </is>
      </c>
      <c r="B2" s="5" t="inlineStr">
        <is>
          <t>Spend</t>
        </is>
      </c>
      <c r="C2" s="5" t="inlineStr">
        <is>
          <t>New Fans</t>
        </is>
      </c>
      <c r="D2" s="5" t="inlineStr">
        <is>
          <t>Revenue</t>
        </is>
      </c>
      <c r="E2" s="5" t="inlineStr">
        <is>
          <t>CAC</t>
        </is>
      </c>
      <c r="F2" s="5" t="inlineStr">
        <is>
          <t>LTV</t>
        </is>
      </c>
      <c r="G2" s="5" t="inlineStr">
        <is>
          <t>ROAS</t>
        </is>
      </c>
      <c r="H2" s="5" t="inlineStr">
        <is>
          <t>Ad Profit</t>
        </is>
      </c>
      <c r="I2" s="5" t="inlineStr">
        <is>
          <t>Salary</t>
        </is>
      </c>
      <c r="J2" s="5" t="inlineStr">
        <is>
          <t>Net Profit</t>
        </is>
      </c>
    </row>
    <row r="3">
      <c r="A3" s="2" t="inlineStr">
        <is>
          <t>Marissa</t>
        </is>
      </c>
      <c r="B3" s="13">
        <f>SUMIF('Daily Log'!$C:$C,A3,'Daily Log'!$H:$H)</f>
        <v/>
      </c>
      <c r="C3">
        <f>SUMIF('Daily Log'!$C:$C,A3,'Daily Log'!$J:$J)</f>
        <v/>
      </c>
      <c r="D3" s="13">
        <f>SUMIF('Daily Log'!$C:$C,A3,'Daily Log'!$K:$K)</f>
        <v/>
      </c>
      <c r="E3" s="13">
        <f>IFERROR(B3/C3,"")</f>
        <v/>
      </c>
      <c r="F3" s="13">
        <f>IFERROR(D3/C3,"")</f>
        <v/>
      </c>
      <c r="G3" s="14">
        <f>IFERROR(D3/B3,"")</f>
        <v/>
      </c>
      <c r="H3" s="13">
        <f>D3-B3</f>
        <v/>
      </c>
      <c r="I3" s="15">
        <f>IFERROR(VLOOKUP(A3,Settings!$D:$E,2,FALSE),0)</f>
        <v/>
      </c>
      <c r="J3" s="13">
        <f>H3-I3</f>
        <v/>
      </c>
    </row>
    <row r="4">
      <c r="A4" s="2" t="inlineStr">
        <is>
          <t>Emma</t>
        </is>
      </c>
      <c r="B4" s="13">
        <f>SUMIF('Daily Log'!$C:$C,A4,'Daily Log'!$H:$H)</f>
        <v/>
      </c>
      <c r="C4">
        <f>SUMIF('Daily Log'!$C:$C,A4,'Daily Log'!$J:$J)</f>
        <v/>
      </c>
      <c r="D4" s="13">
        <f>SUMIF('Daily Log'!$C:$C,A4,'Daily Log'!$K:$K)</f>
        <v/>
      </c>
      <c r="E4" s="13">
        <f>IFERROR(B4/C4,"")</f>
        <v/>
      </c>
      <c r="F4" s="13">
        <f>IFERROR(D4/C4,"")</f>
        <v/>
      </c>
      <c r="G4" s="14">
        <f>IFERROR(D4/B4,"")</f>
        <v/>
      </c>
      <c r="H4" s="13">
        <f>D4-B4</f>
        <v/>
      </c>
      <c r="I4" s="15">
        <f>IFERROR(VLOOKUP(A4,Settings!$D:$E,2,FALSE),0)</f>
        <v/>
      </c>
      <c r="J4" s="13">
        <f>H4-I4</f>
        <v/>
      </c>
    </row>
    <row r="5">
      <c r="A5" s="2" t="inlineStr">
        <is>
          <t>Maylee</t>
        </is>
      </c>
      <c r="B5" s="13">
        <f>SUMIF('Daily Log'!$C:$C,A5,'Daily Log'!$H:$H)</f>
        <v/>
      </c>
      <c r="C5">
        <f>SUMIF('Daily Log'!$C:$C,A5,'Daily Log'!$J:$J)</f>
        <v/>
      </c>
      <c r="D5" s="13">
        <f>SUMIF('Daily Log'!$C:$C,A5,'Daily Log'!$K:$K)</f>
        <v/>
      </c>
      <c r="E5" s="13">
        <f>IFERROR(B5/C5,"")</f>
        <v/>
      </c>
      <c r="F5" s="13">
        <f>IFERROR(D5/C5,"")</f>
        <v/>
      </c>
      <c r="G5" s="14">
        <f>IFERROR(D5/B5,"")</f>
        <v/>
      </c>
      <c r="H5" s="13">
        <f>D5-B5</f>
        <v/>
      </c>
      <c r="I5" s="15">
        <f>IFERROR(VLOOKUP(A5,Settings!$D:$E,2,FALSE),0)</f>
        <v/>
      </c>
      <c r="J5" s="13">
        <f>H5-I5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PLATFORM SUMMARY</t>
        </is>
      </c>
    </row>
    <row r="2">
      <c r="A2" s="5" t="inlineStr">
        <is>
          <t>Platform</t>
        </is>
      </c>
      <c r="B2" s="5" t="inlineStr">
        <is>
          <t>Spend</t>
        </is>
      </c>
      <c r="C2" s="5" t="inlineStr">
        <is>
          <t>Clicks</t>
        </is>
      </c>
      <c r="D2" s="5" t="inlineStr">
        <is>
          <t>New Fans</t>
        </is>
      </c>
      <c r="E2" s="5" t="inlineStr">
        <is>
          <t>Revenue</t>
        </is>
      </c>
      <c r="F2" s="5" t="inlineStr">
        <is>
          <t>CPC</t>
        </is>
      </c>
      <c r="G2" s="5" t="inlineStr">
        <is>
          <t>CAC</t>
        </is>
      </c>
      <c r="H2" s="5" t="inlineStr">
        <is>
          <t>ROAS</t>
        </is>
      </c>
    </row>
    <row r="3">
      <c r="A3" s="2" t="inlineStr">
        <is>
          <t>Meta</t>
        </is>
      </c>
      <c r="B3" s="13">
        <f>SUMIF('Daily Log'!$B:$B,A3,'Daily Log'!$H:$H)</f>
        <v/>
      </c>
      <c r="C3">
        <f>SUMIF('Daily Log'!$B:$B,A3,'Daily Log'!$I:$I)</f>
        <v/>
      </c>
      <c r="D3">
        <f>SUMIF('Daily Log'!$B:$B,A3,'Daily Log'!$J:$J)</f>
        <v/>
      </c>
      <c r="E3" s="13">
        <f>SUMIF('Daily Log'!$B:$B,A3,'Daily Log'!$K:$K)</f>
        <v/>
      </c>
      <c r="F3" s="13">
        <f>IFERROR(B3/C3,"")</f>
        <v/>
      </c>
      <c r="G3" s="13">
        <f>IFERROR(B3/D3,"")</f>
        <v/>
      </c>
      <c r="H3" s="14">
        <f>IFERROR(E3/B3,"")</f>
        <v/>
      </c>
    </row>
    <row r="4">
      <c r="A4" s="2" t="inlineStr">
        <is>
          <t>OnlyFinder</t>
        </is>
      </c>
      <c r="B4" s="13">
        <f>SUMIF('Daily Log'!$B:$B,A4,'Daily Log'!$H:$H)</f>
        <v/>
      </c>
      <c r="C4">
        <f>SUMIF('Daily Log'!$B:$B,A4,'Daily Log'!$I:$I)</f>
        <v/>
      </c>
      <c r="D4">
        <f>SUMIF('Daily Log'!$B:$B,A4,'Daily Log'!$J:$J)</f>
        <v/>
      </c>
      <c r="E4" s="13">
        <f>SUMIF('Daily Log'!$B:$B,A4,'Daily Log'!$K:$K)</f>
        <v/>
      </c>
      <c r="F4" s="13">
        <f>IFERROR(B4/C4,"")</f>
        <v/>
      </c>
      <c r="G4" s="13">
        <f>IFERROR(B4/D4,"")</f>
        <v/>
      </c>
      <c r="H4" s="14">
        <f>IFERROR(E4/B4,"")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2026-06-06T18:03:06Z</dcterms:created>
  <dcterms:modified xsi:type="dcterms:W3CDTF">2026-06-06T18:03:06Z</dcterms:modified>
</cp:coreProperties>
</file>